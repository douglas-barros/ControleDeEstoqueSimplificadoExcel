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1"/>
  </bookViews>
  <sheets>
    <sheet name="Início" sheetId="1" r:id="rId1"/>
    <sheet name="Cadastro" sheetId="7" r:id="rId2"/>
    <sheet name="Lançamentos" sheetId="6" r:id="rId3"/>
  </sheets>
  <definedNames>
    <definedName name="ColunaProdutos">TblCadastro[PRODUTO]</definedName>
  </definedNames>
  <calcPr calcId="145621"/>
</workbook>
</file>

<file path=xl/calcChain.xml><?xml version="1.0" encoding="utf-8"?>
<calcChain xmlns="http://schemas.openxmlformats.org/spreadsheetml/2006/main">
  <c r="E7" i="6" l="1"/>
  <c r="E4" i="6"/>
  <c r="E5" i="6"/>
  <c r="E6" i="6"/>
  <c r="E5" i="7" l="1"/>
  <c r="F5" i="7" s="1"/>
  <c r="E4" i="7"/>
  <c r="F4" i="7" s="1"/>
  <c r="D8" i="6" l="1"/>
  <c r="C8" i="6"/>
  <c r="B8" i="6"/>
  <c r="E8" i="6"/>
  <c r="F6" i="7"/>
</calcChain>
</file>

<file path=xl/sharedStrings.xml><?xml version="1.0" encoding="utf-8"?>
<sst xmlns="http://schemas.openxmlformats.org/spreadsheetml/2006/main" count="21" uniqueCount="13">
  <si>
    <t>PRODUTO</t>
  </si>
  <si>
    <t>MEDIDA</t>
  </si>
  <si>
    <t>SALDO</t>
  </si>
  <si>
    <t>AVISOS</t>
  </si>
  <si>
    <t>Caneta esferográfica azul</t>
  </si>
  <si>
    <t>Unidade</t>
  </si>
  <si>
    <t>Caneta esferográfica preta</t>
  </si>
  <si>
    <t>Total</t>
  </si>
  <si>
    <t>DATA</t>
  </si>
  <si>
    <t>ENTRADA</t>
  </si>
  <si>
    <t>SAÍDA</t>
  </si>
  <si>
    <t>ESTOQUE MÍNIMO</t>
  </si>
  <si>
    <t>ESTOQUE MÁXIMO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</si>
</sst>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top" wrapText="1"/>
    </xf>
    <xf numFmtId="14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23">
    <dxf>
      <fill>
        <patternFill patternType="solid">
          <fgColor indexed="64"/>
          <bgColor theme="0" tint="-0.14999847407452621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>
          <fgColor indexed="64"/>
          <bgColor theme="0" tint="-0.14999847407452621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numFmt numFmtId="1" formatCode="0"/>
    </dxf>
    <dxf>
      <numFmt numFmtId="1" formatCode="0"/>
    </dxf>
    <dxf>
      <numFmt numFmtId="19" formatCode="dd/mm/yyyy"/>
    </dxf>
    <dxf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numFmt numFmtId="0" formatCode="General"/>
      <fill>
        <patternFill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</dxf>
    <dxf>
      <fill>
        <patternFill>
          <bgColor theme="0" tint="-4.9989318521683403E-2"/>
        </patternFill>
      </fill>
    </dxf>
  </dxfs>
  <tableStyles count="1" defaultTableStyle="TableStyleMedium2" defaultPivotStyle="PivotStyleMedium9">
    <tableStyle name="EstiloTabelaPersonalizado" pivot="0" count="0"/>
  </tableStyles>
  <colors>
    <mruColors>
      <color rgb="FF008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Lan&#231;amentos!G1"/><Relationship Id="rId1" Type="http://schemas.openxmlformats.org/officeDocument/2006/relationships/hyperlink" Target="#Cadastro!G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Lan&#231;amentos!G1"/><Relationship Id="rId1" Type="http://schemas.openxmlformats.org/officeDocument/2006/relationships/hyperlink" Target="#In&#237;cio!G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hyperlink" Target="#Cadastro!G1"/><Relationship Id="rId1" Type="http://schemas.openxmlformats.org/officeDocument/2006/relationships/hyperlink" Target="#In&#237;cio!G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/>
        <xdr:cNvSpPr/>
      </xdr:nvSpPr>
      <xdr:spPr>
        <a:xfrm>
          <a:off x="437044" y="147647"/>
          <a:ext cx="1691301" cy="363913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1"/>
        </xdr:cNvPr>
        <xdr:cNvSpPr/>
      </xdr:nvSpPr>
      <xdr:spPr>
        <a:xfrm>
          <a:off x="2213457" y="147103"/>
          <a:ext cx="169538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93951" y="147103"/>
          <a:ext cx="169402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2</xdr:col>
      <xdr:colOff>574632</xdr:colOff>
      <xdr:row>4</xdr:row>
      <xdr:rowOff>57150</xdr:rowOff>
    </xdr:from>
    <xdr:ext cx="4162425" cy="843693"/>
    <xdr:sp macro="" textlink="">
      <xdr:nvSpPr>
        <xdr:cNvPr id="5" name="CaixaDeTexto 4"/>
        <xdr:cNvSpPr txBox="1"/>
      </xdr:nvSpPr>
      <xdr:spPr>
        <a:xfrm>
          <a:off x="4337007" y="1133475"/>
          <a:ext cx="4162425" cy="84369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2400" b="1">
              <a:latin typeface="Calibri" panose="020F0502020204030204" pitchFamily="34" charset="0"/>
              <a:cs typeface="Calibri" panose="020F0502020204030204" pitchFamily="34" charset="0"/>
            </a:rPr>
            <a:t>CONTROLE DE ESTOQUES SIMPLIFICADO</a:t>
          </a:r>
        </a:p>
      </xdr:txBody>
    </xdr:sp>
    <xdr:clientData/>
  </xdr:oneCellAnchor>
  <xdr:oneCellAnchor>
    <xdr:from>
      <xdr:col>1</xdr:col>
      <xdr:colOff>805365</xdr:colOff>
      <xdr:row>11</xdr:row>
      <xdr:rowOff>57150</xdr:rowOff>
    </xdr:from>
    <xdr:ext cx="5796459" cy="1203856"/>
    <xdr:sp macro="" textlink="">
      <xdr:nvSpPr>
        <xdr:cNvPr id="6" name="CaixaDeTexto 5"/>
        <xdr:cNvSpPr txBox="1"/>
      </xdr:nvSpPr>
      <xdr:spPr>
        <a:xfrm>
          <a:off x="3519990" y="2466975"/>
          <a:ext cx="5796459" cy="120385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800" b="1">
              <a:latin typeface="Calibri" panose="020F0502020204030204" pitchFamily="34" charset="0"/>
              <a:cs typeface="Calibri" panose="020F0502020204030204" pitchFamily="34" charset="0"/>
            </a:rPr>
            <a:t>ORIENTAÇÕES</a:t>
          </a:r>
          <a:r>
            <a:rPr lang="pt-BR" sz="1100"/>
            <a:t/>
          </a:r>
          <a:br>
            <a:rPr lang="pt-BR" sz="1100"/>
          </a:br>
          <a:r>
            <a:rPr lang="pt-BR" sz="1100"/>
            <a:t/>
          </a:r>
          <a:br>
            <a:rPr lang="pt-BR" sz="1100"/>
          </a:br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1. Cadastrar o produto na aba "Cadastro".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2. Registrar as entradas e saídas na aba "Lançamentos".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3. Relatórios e consultas usar os filtros nas abas "Cadastro" e "Lançamentos</a:t>
          </a:r>
          <a:r>
            <a:rPr lang="pt-BR" sz="12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".</a:t>
          </a:r>
          <a:endParaRPr lang="pt-BR" sz="1200"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oneCellAnchor>
  <xdr:oneCellAnchor>
    <xdr:from>
      <xdr:col>6</xdr:col>
      <xdr:colOff>1848612</xdr:colOff>
      <xdr:row>0</xdr:row>
      <xdr:rowOff>0</xdr:rowOff>
    </xdr:from>
    <xdr:ext cx="2199513" cy="564706"/>
    <xdr:sp macro="" textlink="">
      <xdr:nvSpPr>
        <xdr:cNvPr id="7" name="CaixaDeTexto 6"/>
        <xdr:cNvSpPr txBox="1"/>
      </xdr:nvSpPr>
      <xdr:spPr>
        <a:xfrm>
          <a:off x="10268712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/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1848612</xdr:colOff>
      <xdr:row>0</xdr:row>
      <xdr:rowOff>0</xdr:rowOff>
    </xdr:from>
    <xdr:ext cx="2199513" cy="564706"/>
    <xdr:sp macro="" textlink="">
      <xdr:nvSpPr>
        <xdr:cNvPr id="5" name="CaixaDeTexto 4"/>
        <xdr:cNvSpPr txBox="1"/>
      </xdr:nvSpPr>
      <xdr:spPr>
        <a:xfrm>
          <a:off x="10268712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2"/>
        </xdr:cNvPr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/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1848612</xdr:colOff>
      <xdr:row>0</xdr:row>
      <xdr:rowOff>0</xdr:rowOff>
    </xdr:from>
    <xdr:ext cx="2199513" cy="564706"/>
    <xdr:sp macro="" textlink="">
      <xdr:nvSpPr>
        <xdr:cNvPr id="8" name="CaixaDeTexto 7"/>
        <xdr:cNvSpPr txBox="1"/>
      </xdr:nvSpPr>
      <xdr:spPr>
        <a:xfrm>
          <a:off x="10268712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tables/table1.xml><?xml version="1.0" encoding="utf-8"?>
<table xmlns="http://schemas.openxmlformats.org/spreadsheetml/2006/main" id="4" name="TblCadastro" displayName="TblCadastro" ref="A3:F6" totalsRowCount="1" headerRowDxfId="21" totalsRowDxfId="20">
  <autoFilter ref="A3:F5"/>
  <tableColumns count="6">
    <tableColumn id="1" name="PRODUTO" totalsRowLabel="Total" totalsRowDxfId="10"/>
    <tableColumn id="2" name="MEDIDA" totalsRowDxfId="9"/>
    <tableColumn id="3" name="ESTOQUE MÍNIMO" totalsRowDxfId="8"/>
    <tableColumn id="4" name="ESTOQUE MÁXIMO" totalsRowDxfId="7"/>
    <tableColumn id="5" name="SALDO" dataDxfId="19" totalsRowDxfId="6">
      <calculatedColumnFormula>SUMIF(TblLancamentos[PRODUTO],TblCadastro[[#This Row],[PRODUTO]],TblLancamentos[ENTRADA])-SUMIF(TblLancamentos[PRODUTO],TblCadastro[[#This Row],[PRODUTO]],TblLancamentos[SAÍDA])</calculatedColumnFormula>
    </tableColumn>
    <tableColumn id="6" name="AVISOS" totalsRowFunction="count" dataDxfId="11" totalsRowDxfId="5">
      <calculatedColumnFormula>IF(TblCadastro[[#This Row],[SALDO]]&lt;TblCadastro[[#This Row],[ESTOQUE MÍNIMO]],"Solicitar nova compra!",IF(TblCadastro[[#This Row],[SALDO]]&gt;TblCadastro[[#This Row],[ESTOQUE MÁXIMO]],"Priorizar venda!",""))</calculatedColumnFormula>
    </tableColumn>
  </tableColumns>
  <tableStyleInfo name="EstiloTabelaPersonalizado" showFirstColumn="0" showLastColumn="0" showRowStripes="1" showColumnStripes="0"/>
</table>
</file>

<file path=xl/tables/table2.xml><?xml version="1.0" encoding="utf-8"?>
<table xmlns="http://schemas.openxmlformats.org/spreadsheetml/2006/main" id="5" name="TblLancamentos" displayName="TblLancamentos" ref="A3:E8" totalsRowCount="1" headerRowDxfId="17" totalsRowDxfId="16">
  <autoFilter ref="A3:E7"/>
  <tableColumns count="5">
    <tableColumn id="1" name="PRODUTO" totalsRowLabel="Total" totalsRowDxfId="4"/>
    <tableColumn id="2" name="DATA" totalsRowFunction="count" dataDxfId="15" totalsRowDxfId="3"/>
    <tableColumn id="3" name="ENTRADA" totalsRowFunction="sum" dataDxfId="14" totalsRowDxfId="2"/>
    <tableColumn id="4" name="SAÍDA" totalsRowFunction="sum" dataDxfId="13" totalsRowDxfId="1"/>
    <tableColumn id="5" name="SALDO" totalsRowFunction="count" dataDxfId="12" totalsRowDxfId="0">
      <calculatedColumnFormula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calculatedColumnFormula>
    </tableColumn>
  </tableColumns>
  <tableStyleInfo name="EstiloTabelaPersonalizad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showGridLines="0" topLeftCell="B1" zoomScaleNormal="100" workbookViewId="0">
      <selection activeCell="G6" sqref="G6"/>
    </sheetView>
  </sheetViews>
  <sheetFormatPr defaultColWidth="0" defaultRowHeight="15" x14ac:dyDescent="0.25"/>
  <cols>
    <col min="1" max="1" width="40.7109375" customWidth="1"/>
    <col min="2" max="5" width="15.7109375" customWidth="1"/>
    <col min="6" max="6" width="22.7109375" customWidth="1"/>
    <col min="7" max="7" width="60.7109375" customWidth="1"/>
    <col min="8" max="16384" width="9.140625" hidden="1"/>
  </cols>
  <sheetData>
    <row r="1" s="1" customFormat="1" ht="39.950000000000003" customHeight="1" x14ac:dyDescent="0.25"/>
  </sheetData>
  <sheetProtection selectLockedCell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showGridLines="0" tabSelected="1" zoomScaleNormal="100" workbookViewId="0">
      <selection activeCell="F7" sqref="F7"/>
    </sheetView>
  </sheetViews>
  <sheetFormatPr defaultColWidth="0" defaultRowHeight="15" x14ac:dyDescent="0.25"/>
  <cols>
    <col min="1" max="1" width="40.7109375" customWidth="1"/>
    <col min="2" max="5" width="15.7109375" customWidth="1"/>
    <col min="6" max="6" width="22.7109375" customWidth="1"/>
    <col min="7" max="7" width="60.7109375" customWidth="1"/>
    <col min="8" max="16384" width="9.140625" hidden="1"/>
  </cols>
  <sheetData>
    <row r="1" spans="1:6" s="1" customFormat="1" ht="39.950000000000003" customHeight="1" x14ac:dyDescent="0.25"/>
    <row r="3" spans="1:6" ht="30" x14ac:dyDescent="0.25">
      <c r="A3" s="2" t="s">
        <v>0</v>
      </c>
      <c r="B3" s="2" t="s">
        <v>1</v>
      </c>
      <c r="C3" s="3" t="s">
        <v>11</v>
      </c>
      <c r="D3" s="3" t="s">
        <v>12</v>
      </c>
      <c r="E3" s="2" t="s">
        <v>2</v>
      </c>
      <c r="F3" s="2" t="s">
        <v>3</v>
      </c>
    </row>
    <row r="4" spans="1:6" x14ac:dyDescent="0.25">
      <c r="A4" t="s">
        <v>4</v>
      </c>
      <c r="B4" t="s">
        <v>5</v>
      </c>
      <c r="C4">
        <v>15</v>
      </c>
      <c r="D4">
        <v>150</v>
      </c>
      <c r="E4" s="1">
        <f>SUMIF(TblLancamentos[PRODUTO],TblCadastro[[#This Row],[PRODUTO]],TblLancamentos[ENTRADA])-SUMIF(TblLancamentos[PRODUTO],TblCadastro[[#This Row],[PRODUTO]],TblLancamentos[SAÍDA])</f>
        <v>998</v>
      </c>
      <c r="F4" s="1" t="str">
        <f>IF(TblCadastro[[#This Row],[SALDO]]&lt;TblCadastro[[#This Row],[ESTOQUE MÍNIMO]],"Solicitar nova compra!",IF(TblCadastro[[#This Row],[SALDO]]&gt;TblCadastro[[#This Row],[ESTOQUE MÁXIMO]],"Priorizar venda!",""))</f>
        <v>Priorizar venda!</v>
      </c>
    </row>
    <row r="5" spans="1:6" x14ac:dyDescent="0.25">
      <c r="A5" t="s">
        <v>6</v>
      </c>
      <c r="B5" t="s">
        <v>5</v>
      </c>
      <c r="C5">
        <v>15</v>
      </c>
      <c r="D5">
        <v>150</v>
      </c>
      <c r="E5" s="1">
        <f>SUMIF(TblLancamentos[PRODUTO],TblCadastro[[#This Row],[PRODUTO]],TblLancamentos[ENTRADA])-SUMIF(TblLancamentos[PRODUTO],TblCadastro[[#This Row],[PRODUTO]],TblLancamentos[SAÍDA])</f>
        <v>-9952</v>
      </c>
      <c r="F5" s="1" t="str">
        <f>IF(TblCadastro[[#This Row],[SALDO]]&lt;TblCadastro[[#This Row],[ESTOQUE MÍNIMO]],"Solicitar nova compra!",IF(TblCadastro[[#This Row],[SALDO]]&gt;TblCadastro[[#This Row],[ESTOQUE MÁXIMO]],"Priorizar venda!",""))</f>
        <v>Solicitar nova compra!</v>
      </c>
    </row>
    <row r="6" spans="1:6" x14ac:dyDescent="0.25">
      <c r="A6" s="1" t="s">
        <v>7</v>
      </c>
      <c r="B6" s="1"/>
      <c r="C6" s="1"/>
      <c r="D6" s="1"/>
      <c r="E6" s="1"/>
      <c r="F6" s="1">
        <f>SUBTOTAL(103,TblCadastro[AVISOS])</f>
        <v>2</v>
      </c>
    </row>
  </sheetData>
  <conditionalFormatting sqref="A4:D5">
    <cfRule type="expression" dxfId="22" priority="1">
      <formula>ODD(ROW())=ROW()</formula>
    </cfRule>
  </conditionalFormatting>
  <dataValidations count="1">
    <dataValidation type="whole" allowBlank="1" showInputMessage="1" showErrorMessage="1" sqref="C4:D5">
      <formula1>0</formula1>
      <formula2>1000000000</formula2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showGridLines="0" zoomScaleNormal="100" workbookViewId="0">
      <selection activeCell="D5" sqref="D5"/>
    </sheetView>
  </sheetViews>
  <sheetFormatPr defaultColWidth="0" defaultRowHeight="15" x14ac:dyDescent="0.25"/>
  <cols>
    <col min="1" max="1" width="40.7109375" customWidth="1"/>
    <col min="2" max="5" width="15.7109375" customWidth="1"/>
    <col min="6" max="6" width="22.7109375" customWidth="1"/>
    <col min="7" max="7" width="60.7109375" customWidth="1"/>
    <col min="8" max="16384" width="9.140625" hidden="1"/>
  </cols>
  <sheetData>
    <row r="1" spans="1:5" s="1" customFormat="1" ht="39.950000000000003" customHeight="1" x14ac:dyDescent="0.25"/>
    <row r="3" spans="1:5" x14ac:dyDescent="0.25">
      <c r="A3" s="2" t="s">
        <v>0</v>
      </c>
      <c r="B3" s="2" t="s">
        <v>8</v>
      </c>
      <c r="C3" s="8" t="s">
        <v>9</v>
      </c>
      <c r="D3" s="7" t="s">
        <v>10</v>
      </c>
      <c r="E3" s="2" t="s">
        <v>2</v>
      </c>
    </row>
    <row r="4" spans="1:5" x14ac:dyDescent="0.25">
      <c r="A4" t="s">
        <v>4</v>
      </c>
      <c r="B4" s="4">
        <v>43698</v>
      </c>
      <c r="C4" s="5">
        <v>1000</v>
      </c>
      <c r="D4" s="5">
        <v>12</v>
      </c>
      <c r="E4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988</v>
      </c>
    </row>
    <row r="5" spans="1:5" x14ac:dyDescent="0.25">
      <c r="A5" t="s">
        <v>4</v>
      </c>
      <c r="B5" s="4">
        <v>43699</v>
      </c>
      <c r="C5" s="5">
        <v>20</v>
      </c>
      <c r="D5" s="5">
        <v>10</v>
      </c>
      <c r="E5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998</v>
      </c>
    </row>
    <row r="6" spans="1:5" x14ac:dyDescent="0.25">
      <c r="A6" t="s">
        <v>6</v>
      </c>
      <c r="B6" s="4">
        <v>43605</v>
      </c>
      <c r="C6" s="5">
        <v>50</v>
      </c>
      <c r="D6" s="5">
        <v>10000</v>
      </c>
      <c r="E6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-9952</v>
      </c>
    </row>
    <row r="7" spans="1:5" x14ac:dyDescent="0.25">
      <c r="A7" t="s">
        <v>6</v>
      </c>
      <c r="B7" s="4">
        <v>43497</v>
      </c>
      <c r="C7" s="5">
        <v>10</v>
      </c>
      <c r="D7" s="5">
        <v>12</v>
      </c>
      <c r="E7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-2</v>
      </c>
    </row>
    <row r="8" spans="1:5" x14ac:dyDescent="0.25">
      <c r="A8" s="9" t="s">
        <v>7</v>
      </c>
      <c r="B8" s="1">
        <f>SUBTOTAL(103,TblLancamentos[DATA])</f>
        <v>4</v>
      </c>
      <c r="C8" s="6">
        <f>SUBTOTAL(109,TblLancamentos[ENTRADA])</f>
        <v>1080</v>
      </c>
      <c r="D8" s="6">
        <f>SUBTOTAL(109,TblLancamentos[SAÍDA])</f>
        <v>10034</v>
      </c>
      <c r="E8" s="1">
        <f>SUBTOTAL(103,TblLancamentos[SALDO])</f>
        <v>4</v>
      </c>
    </row>
  </sheetData>
  <conditionalFormatting sqref="A4:D7">
    <cfRule type="expression" dxfId="18" priority="1">
      <formula>ODD(ROW())=ROW()</formula>
    </cfRule>
  </conditionalFormatting>
  <dataValidations count="3">
    <dataValidation type="date" allowBlank="1" showInputMessage="1" showErrorMessage="1" errorTitle="Erro" error="Por favor_x000a__x000a_Digite uma data válida_x000a__x000a_Ex: 04/05/2020" sqref="B4:B7">
      <formula1>1</formula1>
      <formula2>401769</formula2>
    </dataValidation>
    <dataValidation type="whole" allowBlank="1" showInputMessage="1" showErrorMessage="1" sqref="C4:D7">
      <formula1>0</formula1>
      <formula2>1000000000</formula2>
    </dataValidation>
    <dataValidation type="list" allowBlank="1" showInputMessage="1" showErrorMessage="1" sqref="A4:A7">
      <formula1>ColunaProdutos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Início</vt:lpstr>
      <vt:lpstr>Cadastro</vt:lpstr>
      <vt:lpstr>Lançamentos</vt:lpstr>
      <vt:lpstr>ColunaProdutos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2020-03-28T18:48:41Z</dcterms:modified>
</cp:coreProperties>
</file>