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 activeTab="1"/>
  </bookViews>
  <sheets>
    <sheet name="Início" sheetId="1" r:id="rId1"/>
    <sheet name="Cadastro" sheetId="7" r:id="rId2"/>
    <sheet name="Lançamentos" sheetId="6" r:id="rId3"/>
  </sheets>
  <definedNames>
    <definedName name="ColunaProdutos">TblCadastro[PRODUTO]</definedName>
  </definedNames>
  <calcPr calcId="145621"/>
</workbook>
</file>

<file path=xl/calcChain.xml><?xml version="1.0" encoding="utf-8"?>
<calcChain xmlns="http://schemas.openxmlformats.org/spreadsheetml/2006/main">
  <c r="E5" i="7" l="1"/>
  <c r="E4" i="7"/>
  <c r="D7" i="6" l="1"/>
  <c r="C7" i="6"/>
  <c r="B7" i="6"/>
  <c r="E7" i="6"/>
  <c r="F6" i="7"/>
</calcChain>
</file>

<file path=xl/sharedStrings.xml><?xml version="1.0" encoding="utf-8"?>
<sst xmlns="http://schemas.openxmlformats.org/spreadsheetml/2006/main" count="20" uniqueCount="13">
  <si>
    <t>PRODUTO</t>
  </si>
  <si>
    <t>MEDIDA</t>
  </si>
  <si>
    <t>ESTOQUE
MÍNIMO</t>
  </si>
  <si>
    <t>SALDO</t>
  </si>
  <si>
    <t>AVISOS</t>
  </si>
  <si>
    <t>Caneta esferográfica azul</t>
  </si>
  <si>
    <t>Unidade</t>
  </si>
  <si>
    <t>ESTOQUE
MÁXIMO</t>
  </si>
  <si>
    <t>Caneta esferográfica preta</t>
  </si>
  <si>
    <t>Total</t>
  </si>
  <si>
    <t>DATA</t>
  </si>
  <si>
    <t>ENTRADA</t>
  </si>
  <si>
    <t>SAÍDA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</si>
</sst>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8000"/>
      <name val="Calibri"/>
      <family val="2"/>
      <scheme val="minor"/>
    </font>
    <font>
      <b/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vertical="top"/>
    </xf>
    <xf numFmtId="0" fontId="1" fillId="2" borderId="0" xfId="0" applyFont="1" applyFill="1" applyAlignment="1">
      <alignment vertical="top" wrapText="1"/>
    </xf>
    <xf numFmtId="14" fontId="0" fillId="0" borderId="0" xfId="0" applyNumberFormat="1"/>
    <xf numFmtId="1" fontId="0" fillId="0" borderId="0" xfId="0" applyNumberFormat="1"/>
    <xf numFmtId="1" fontId="0" fillId="2" borderId="0" xfId="0" applyNumberFormat="1" applyFill="1"/>
    <xf numFmtId="0" fontId="2" fillId="2" borderId="0" xfId="0" applyFont="1" applyFill="1" applyAlignment="1">
      <alignment vertical="top" wrapText="1"/>
    </xf>
    <xf numFmtId="0" fontId="3" fillId="2" borderId="0" xfId="0" applyFont="1" applyFill="1" applyAlignment="1">
      <alignment vertical="top" wrapText="1"/>
    </xf>
    <xf numFmtId="0" fontId="4" fillId="2" borderId="0" xfId="0" applyFont="1" applyFill="1"/>
  </cellXfs>
  <cellStyles count="1">
    <cellStyle name="Normal" xfId="0" builtinId="0"/>
  </cellStyles>
  <dxfs count="25">
    <dxf>
      <fill>
        <patternFill patternType="solid">
          <fgColor indexed="64"/>
          <bgColor theme="0" tint="-0.14999847407452621"/>
        </patternFill>
      </fill>
    </dxf>
    <dxf>
      <numFmt numFmtId="1" formatCode="0"/>
      <fill>
        <patternFill patternType="solid">
          <fgColor indexed="64"/>
          <bgColor theme="0" tint="-0.14999847407452621"/>
        </patternFill>
      </fill>
    </dxf>
    <dxf>
      <numFmt numFmtId="1" formatCode="0"/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1499984740745262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numFmt numFmtId="1" formatCode="0"/>
      <fill>
        <patternFill patternType="solid">
          <fgColor indexed="64"/>
          <bgColor theme="0" tint="-0.14999847407452621"/>
        </patternFill>
      </fill>
    </dxf>
    <dxf>
      <numFmt numFmtId="1" formatCode="0"/>
    </dxf>
    <dxf>
      <numFmt numFmtId="1" formatCode="0"/>
    </dxf>
    <dxf>
      <numFmt numFmtId="19" formatCode="dd/mm/yyyy"/>
    </dxf>
    <dxf>
      <fill>
        <patternFill patternType="solid">
          <fgColor indexed="64"/>
          <bgColor theme="0" tint="-0.1499984740745262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general" vertical="top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numFmt numFmtId="0" formatCode="General"/>
      <fill>
        <patternFill>
          <fgColor indexed="64"/>
          <bgColor theme="0" tint="-0.14999847407452621"/>
        </patternFill>
      </fill>
    </dxf>
    <dxf>
      <fill>
        <patternFill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ont>
        <b/>
      </font>
      <fill>
        <patternFill patternType="solid">
          <fgColor indexed="64"/>
          <bgColor theme="0" tint="-0.14999847407452621"/>
        </patternFill>
      </fill>
      <alignment horizontal="general" vertical="top" textRotation="0" wrapText="0" indent="0" justifyLastLine="0" shrinkToFit="0" readingOrder="0"/>
    </dxf>
  </dxfs>
  <tableStyles count="1" defaultTableStyle="TableStyleMedium2" defaultPivotStyle="PivotStyleMedium9">
    <tableStyle name="EstiloTabelaPersonalizado" pivot="0" count="0"/>
  </tableStyles>
  <colors>
    <mruColors>
      <color rgb="FF008000"/>
      <color rgb="FF0066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hyperlink" Target="#Lan&#231;amentos!G1"/><Relationship Id="rId1" Type="http://schemas.openxmlformats.org/officeDocument/2006/relationships/hyperlink" Target="#Cadastro!G1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hyperlink" Target="#Lan&#231;amentos!G1"/><Relationship Id="rId1" Type="http://schemas.openxmlformats.org/officeDocument/2006/relationships/hyperlink" Target="#In&#237;cio!G1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hyperlink" Target="#Cadastro!G1"/><Relationship Id="rId1" Type="http://schemas.openxmlformats.org/officeDocument/2006/relationships/hyperlink" Target="#In&#237;cio!G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437044</xdr:colOff>
      <xdr:row>0</xdr:row>
      <xdr:rowOff>147647</xdr:rowOff>
    </xdr:from>
    <xdr:to>
      <xdr:col>0</xdr:col>
      <xdr:colOff>2128345</xdr:colOff>
      <xdr:row>1</xdr:row>
      <xdr:rowOff>5374</xdr:rowOff>
    </xdr:to>
    <xdr:sp macro="" textlink="">
      <xdr:nvSpPr>
        <xdr:cNvPr id="2" name="Retângulo com Canto Aparado do Mesmo Lado 1"/>
        <xdr:cNvSpPr/>
      </xdr:nvSpPr>
      <xdr:spPr>
        <a:xfrm>
          <a:off x="437044" y="147647"/>
          <a:ext cx="1691301" cy="363913"/>
        </a:xfrm>
        <a:prstGeom prst="snip2SameRect">
          <a:avLst>
            <a:gd name="adj1" fmla="val 39185"/>
            <a:gd name="adj2" fmla="val 0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Início</a:t>
          </a:r>
        </a:p>
      </xdr:txBody>
    </xdr:sp>
    <xdr:clientData/>
  </xdr:twoCellAnchor>
  <xdr:twoCellAnchor>
    <xdr:from>
      <xdr:col>0</xdr:col>
      <xdr:colOff>2213457</xdr:colOff>
      <xdr:row>0</xdr:row>
      <xdr:rowOff>147103</xdr:rowOff>
    </xdr:from>
    <xdr:to>
      <xdr:col>2</xdr:col>
      <xdr:colOff>142383</xdr:colOff>
      <xdr:row>1</xdr:row>
      <xdr:rowOff>5374</xdr:rowOff>
    </xdr:to>
    <xdr:sp macro="" textlink="">
      <xdr:nvSpPr>
        <xdr:cNvPr id="3" name="Retângulo com Canto Aparado do Mesmo Lado 2">
          <a:hlinkClick xmlns:r="http://schemas.openxmlformats.org/officeDocument/2006/relationships" r:id="rId1"/>
        </xdr:cNvPr>
        <xdr:cNvSpPr/>
      </xdr:nvSpPr>
      <xdr:spPr>
        <a:xfrm>
          <a:off x="2213457" y="147103"/>
          <a:ext cx="1695383" cy="364457"/>
        </a:xfrm>
        <a:prstGeom prst="snip2SameRect">
          <a:avLst>
            <a:gd name="adj1" fmla="val 39185"/>
            <a:gd name="adj2" fmla="val 0"/>
          </a:avLst>
        </a:prstGeom>
        <a:solidFill>
          <a:schemeClr val="bg1">
            <a:lumMod val="6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Cadastro</a:t>
          </a:r>
        </a:p>
      </xdr:txBody>
    </xdr:sp>
    <xdr:clientData/>
  </xdr:twoCellAnchor>
  <xdr:twoCellAnchor>
    <xdr:from>
      <xdr:col>2</xdr:col>
      <xdr:colOff>227494</xdr:colOff>
      <xdr:row>0</xdr:row>
      <xdr:rowOff>147103</xdr:rowOff>
    </xdr:from>
    <xdr:to>
      <xdr:col>3</xdr:col>
      <xdr:colOff>871045</xdr:colOff>
      <xdr:row>1</xdr:row>
      <xdr:rowOff>5374</xdr:rowOff>
    </xdr:to>
    <xdr:sp macro="" textlink="">
      <xdr:nvSpPr>
        <xdr:cNvPr id="4" name="Retângulo com Canto Aparado do Mesmo Lado 3">
          <a:hlinkClick xmlns:r="http://schemas.openxmlformats.org/officeDocument/2006/relationships" r:id="rId2"/>
        </xdr:cNvPr>
        <xdr:cNvSpPr/>
      </xdr:nvSpPr>
      <xdr:spPr>
        <a:xfrm>
          <a:off x="3993951" y="147103"/>
          <a:ext cx="1694023" cy="364457"/>
        </a:xfrm>
        <a:prstGeom prst="snip2SameRect">
          <a:avLst>
            <a:gd name="adj1" fmla="val 39185"/>
            <a:gd name="adj2" fmla="val 0"/>
          </a:avLst>
        </a:prstGeom>
        <a:solidFill>
          <a:schemeClr val="bg1">
            <a:lumMod val="6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Lançamentos</a:t>
          </a:r>
        </a:p>
      </xdr:txBody>
    </xdr:sp>
    <xdr:clientData/>
  </xdr:twoCellAnchor>
  <xdr:oneCellAnchor>
    <xdr:from>
      <xdr:col>2</xdr:col>
      <xdr:colOff>574632</xdr:colOff>
      <xdr:row>4</xdr:row>
      <xdr:rowOff>57150</xdr:rowOff>
    </xdr:from>
    <xdr:ext cx="4162425" cy="843693"/>
    <xdr:sp macro="" textlink="">
      <xdr:nvSpPr>
        <xdr:cNvPr id="5" name="CaixaDeTexto 4"/>
        <xdr:cNvSpPr txBox="1"/>
      </xdr:nvSpPr>
      <xdr:spPr>
        <a:xfrm>
          <a:off x="4337007" y="1133475"/>
          <a:ext cx="4162425" cy="84369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pt-BR" sz="2400" b="1">
              <a:latin typeface="Calibri" panose="020F0502020204030204" pitchFamily="34" charset="0"/>
              <a:cs typeface="Calibri" panose="020F0502020204030204" pitchFamily="34" charset="0"/>
            </a:rPr>
            <a:t>CONTROLE DE ESTOQUES SIMPLIFICADO</a:t>
          </a:r>
        </a:p>
      </xdr:txBody>
    </xdr:sp>
    <xdr:clientData/>
  </xdr:oneCellAnchor>
  <xdr:oneCellAnchor>
    <xdr:from>
      <xdr:col>1</xdr:col>
      <xdr:colOff>805365</xdr:colOff>
      <xdr:row>11</xdr:row>
      <xdr:rowOff>57150</xdr:rowOff>
    </xdr:from>
    <xdr:ext cx="5796459" cy="1203856"/>
    <xdr:sp macro="" textlink="">
      <xdr:nvSpPr>
        <xdr:cNvPr id="6" name="CaixaDeTexto 5"/>
        <xdr:cNvSpPr txBox="1"/>
      </xdr:nvSpPr>
      <xdr:spPr>
        <a:xfrm>
          <a:off x="3519990" y="2466975"/>
          <a:ext cx="5796459" cy="120385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pt-BR" sz="1800" b="1">
              <a:latin typeface="Calibri" panose="020F0502020204030204" pitchFamily="34" charset="0"/>
              <a:cs typeface="Calibri" panose="020F0502020204030204" pitchFamily="34" charset="0"/>
            </a:rPr>
            <a:t>ORIENTAÇÕES</a:t>
          </a:r>
          <a:r>
            <a:rPr lang="pt-BR" sz="1100"/>
            <a:t/>
          </a:r>
          <a:br>
            <a:rPr lang="pt-BR" sz="1100"/>
          </a:br>
          <a:r>
            <a:rPr lang="pt-BR" sz="1100"/>
            <a:t/>
          </a:r>
          <a:br>
            <a:rPr lang="pt-BR" sz="1100"/>
          </a:br>
          <a:r>
            <a:rPr lang="pt-BR" sz="1400" b="0" i="0" u="none" strike="noStrike" baseline="0" smtClean="0">
              <a:solidFill>
                <a:schemeClr val="tx1"/>
              </a:solidFill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1. Cadastrar o produto na aba "Cadastro".</a:t>
          </a:r>
        </a:p>
        <a:p>
          <a:pPr algn="ctr"/>
          <a:r>
            <a:rPr lang="pt-BR" sz="1400" b="0" i="0" u="none" strike="noStrike" baseline="0" smtClean="0">
              <a:solidFill>
                <a:schemeClr val="tx1"/>
              </a:solidFill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2. Registrar as entradas e saídas na aba "Lançamentos".</a:t>
          </a:r>
        </a:p>
        <a:p>
          <a:pPr algn="ctr"/>
          <a:r>
            <a:rPr lang="pt-BR" sz="1400" b="0" i="0" u="none" strike="noStrike" baseline="0" smtClean="0">
              <a:solidFill>
                <a:schemeClr val="tx1"/>
              </a:solidFill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3. Relatórios e consultas usar os filtros nas abas "Cadastro" e "Lançamentos</a:t>
          </a:r>
          <a:r>
            <a:rPr lang="pt-BR" sz="1200" b="0" i="0" u="none" strike="noStrike" baseline="0" smtClean="0">
              <a:solidFill>
                <a:schemeClr val="tx1"/>
              </a:solidFill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".</a:t>
          </a:r>
          <a:endParaRPr lang="pt-BR" sz="1200"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oneCellAnchor>
  <xdr:oneCellAnchor>
    <xdr:from>
      <xdr:col>6</xdr:col>
      <xdr:colOff>2267712</xdr:colOff>
      <xdr:row>0</xdr:row>
      <xdr:rowOff>0</xdr:rowOff>
    </xdr:from>
    <xdr:ext cx="2199513" cy="564706"/>
    <xdr:sp macro="" textlink="">
      <xdr:nvSpPr>
        <xdr:cNvPr id="7" name="CaixaDeTexto 6"/>
        <xdr:cNvSpPr txBox="1"/>
      </xdr:nvSpPr>
      <xdr:spPr>
        <a:xfrm>
          <a:off x="10221087" y="0"/>
          <a:ext cx="2199513" cy="56470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400">
              <a:solidFill>
                <a:srgbClr val="00B050"/>
              </a:solidFill>
              <a:latin typeface="Arial Black" panose="020B0A04020102020204" pitchFamily="34" charset="0"/>
            </a:rPr>
            <a:t>Douglas Barros Nery</a:t>
          </a:r>
          <a:r>
            <a:rPr lang="pt-BR" sz="1400"/>
            <a:t/>
          </a:r>
          <a:br>
            <a:rPr lang="pt-BR" sz="1400"/>
          </a:br>
          <a:r>
            <a:rPr lang="pt-BR" sz="1400" b="1"/>
            <a:t>Controle de Estoque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437044</xdr:colOff>
      <xdr:row>0</xdr:row>
      <xdr:rowOff>147647</xdr:rowOff>
    </xdr:from>
    <xdr:to>
      <xdr:col>0</xdr:col>
      <xdr:colOff>2128345</xdr:colOff>
      <xdr:row>1</xdr:row>
      <xdr:rowOff>5374</xdr:rowOff>
    </xdr:to>
    <xdr:sp macro="" textlink="">
      <xdr:nvSpPr>
        <xdr:cNvPr id="2" name="Retângulo com Canto Aparado do Mesmo Lado 1">
          <a:hlinkClick xmlns:r="http://schemas.openxmlformats.org/officeDocument/2006/relationships" r:id="rId1"/>
        </xdr:cNvPr>
        <xdr:cNvSpPr/>
      </xdr:nvSpPr>
      <xdr:spPr>
        <a:xfrm>
          <a:off x="437044" y="147647"/>
          <a:ext cx="1691301" cy="362552"/>
        </a:xfrm>
        <a:prstGeom prst="snip2SameRect">
          <a:avLst>
            <a:gd name="adj1" fmla="val 39185"/>
            <a:gd name="adj2" fmla="val 0"/>
          </a:avLst>
        </a:prstGeom>
        <a:solidFill>
          <a:schemeClr val="bg1">
            <a:lumMod val="6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Início</a:t>
          </a:r>
        </a:p>
      </xdr:txBody>
    </xdr:sp>
    <xdr:clientData/>
  </xdr:twoCellAnchor>
  <xdr:twoCellAnchor>
    <xdr:from>
      <xdr:col>0</xdr:col>
      <xdr:colOff>2213457</xdr:colOff>
      <xdr:row>0</xdr:row>
      <xdr:rowOff>147103</xdr:rowOff>
    </xdr:from>
    <xdr:to>
      <xdr:col>2</xdr:col>
      <xdr:colOff>142383</xdr:colOff>
      <xdr:row>1</xdr:row>
      <xdr:rowOff>5374</xdr:rowOff>
    </xdr:to>
    <xdr:sp macro="" textlink="">
      <xdr:nvSpPr>
        <xdr:cNvPr id="3" name="Retângulo com Canto Aparado do Mesmo Lado 2"/>
        <xdr:cNvSpPr/>
      </xdr:nvSpPr>
      <xdr:spPr>
        <a:xfrm>
          <a:off x="2213457" y="147103"/>
          <a:ext cx="1691301" cy="363096"/>
        </a:xfrm>
        <a:prstGeom prst="snip2SameRect">
          <a:avLst>
            <a:gd name="adj1" fmla="val 39185"/>
            <a:gd name="adj2" fmla="val 0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Cadastro</a:t>
          </a:r>
        </a:p>
      </xdr:txBody>
    </xdr:sp>
    <xdr:clientData/>
  </xdr:twoCellAnchor>
  <xdr:twoCellAnchor>
    <xdr:from>
      <xdr:col>2</xdr:col>
      <xdr:colOff>227494</xdr:colOff>
      <xdr:row>0</xdr:row>
      <xdr:rowOff>147103</xdr:rowOff>
    </xdr:from>
    <xdr:to>
      <xdr:col>3</xdr:col>
      <xdr:colOff>871045</xdr:colOff>
      <xdr:row>1</xdr:row>
      <xdr:rowOff>5374</xdr:rowOff>
    </xdr:to>
    <xdr:sp macro="" textlink="">
      <xdr:nvSpPr>
        <xdr:cNvPr id="4" name="Retângulo com Canto Aparado do Mesmo Lado 3">
          <a:hlinkClick xmlns:r="http://schemas.openxmlformats.org/officeDocument/2006/relationships" r:id="rId2"/>
        </xdr:cNvPr>
        <xdr:cNvSpPr/>
      </xdr:nvSpPr>
      <xdr:spPr>
        <a:xfrm>
          <a:off x="3989869" y="147103"/>
          <a:ext cx="1691301" cy="363096"/>
        </a:xfrm>
        <a:prstGeom prst="snip2SameRect">
          <a:avLst>
            <a:gd name="adj1" fmla="val 39185"/>
            <a:gd name="adj2" fmla="val 0"/>
          </a:avLst>
        </a:prstGeom>
        <a:solidFill>
          <a:schemeClr val="bg1">
            <a:lumMod val="6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Lançamentos</a:t>
          </a:r>
        </a:p>
      </xdr:txBody>
    </xdr:sp>
    <xdr:clientData/>
  </xdr:twoCellAnchor>
  <xdr:oneCellAnchor>
    <xdr:from>
      <xdr:col>6</xdr:col>
      <xdr:colOff>2266950</xdr:colOff>
      <xdr:row>0</xdr:row>
      <xdr:rowOff>0</xdr:rowOff>
    </xdr:from>
    <xdr:ext cx="2199513" cy="564706"/>
    <xdr:sp macro="" textlink="">
      <xdr:nvSpPr>
        <xdr:cNvPr id="5" name="CaixaDeTexto 4"/>
        <xdr:cNvSpPr txBox="1"/>
      </xdr:nvSpPr>
      <xdr:spPr>
        <a:xfrm>
          <a:off x="10220325" y="0"/>
          <a:ext cx="2199513" cy="56470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400">
              <a:solidFill>
                <a:srgbClr val="00B050"/>
              </a:solidFill>
              <a:latin typeface="Arial Black" panose="020B0A04020102020204" pitchFamily="34" charset="0"/>
            </a:rPr>
            <a:t>Douglas Barros Nery</a:t>
          </a:r>
          <a:r>
            <a:rPr lang="pt-BR" sz="1400"/>
            <a:t/>
          </a:r>
          <a:br>
            <a:rPr lang="pt-BR" sz="1400"/>
          </a:br>
          <a:r>
            <a:rPr lang="pt-BR" sz="1400" b="1"/>
            <a:t>Controle de Estoque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437044</xdr:colOff>
      <xdr:row>0</xdr:row>
      <xdr:rowOff>147647</xdr:rowOff>
    </xdr:from>
    <xdr:to>
      <xdr:col>0</xdr:col>
      <xdr:colOff>2128345</xdr:colOff>
      <xdr:row>1</xdr:row>
      <xdr:rowOff>5374</xdr:rowOff>
    </xdr:to>
    <xdr:sp macro="" textlink="">
      <xdr:nvSpPr>
        <xdr:cNvPr id="2" name="Retângulo com Canto Aparado do Mesmo Lado 1">
          <a:hlinkClick xmlns:r="http://schemas.openxmlformats.org/officeDocument/2006/relationships" r:id="rId1"/>
        </xdr:cNvPr>
        <xdr:cNvSpPr/>
      </xdr:nvSpPr>
      <xdr:spPr>
        <a:xfrm>
          <a:off x="437044" y="147647"/>
          <a:ext cx="1691301" cy="362552"/>
        </a:xfrm>
        <a:prstGeom prst="snip2SameRect">
          <a:avLst>
            <a:gd name="adj1" fmla="val 39185"/>
            <a:gd name="adj2" fmla="val 0"/>
          </a:avLst>
        </a:prstGeom>
        <a:solidFill>
          <a:schemeClr val="bg1">
            <a:lumMod val="6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Início</a:t>
          </a:r>
        </a:p>
      </xdr:txBody>
    </xdr:sp>
    <xdr:clientData/>
  </xdr:twoCellAnchor>
  <xdr:twoCellAnchor>
    <xdr:from>
      <xdr:col>0</xdr:col>
      <xdr:colOff>2213457</xdr:colOff>
      <xdr:row>0</xdr:row>
      <xdr:rowOff>147103</xdr:rowOff>
    </xdr:from>
    <xdr:to>
      <xdr:col>2</xdr:col>
      <xdr:colOff>142383</xdr:colOff>
      <xdr:row>1</xdr:row>
      <xdr:rowOff>5374</xdr:rowOff>
    </xdr:to>
    <xdr:sp macro="" textlink="">
      <xdr:nvSpPr>
        <xdr:cNvPr id="3" name="Retângulo com Canto Aparado do Mesmo Lado 2">
          <a:hlinkClick xmlns:r="http://schemas.openxmlformats.org/officeDocument/2006/relationships" r:id="rId2"/>
        </xdr:cNvPr>
        <xdr:cNvSpPr/>
      </xdr:nvSpPr>
      <xdr:spPr>
        <a:xfrm>
          <a:off x="2213457" y="147103"/>
          <a:ext cx="1691301" cy="363096"/>
        </a:xfrm>
        <a:prstGeom prst="snip2SameRect">
          <a:avLst>
            <a:gd name="adj1" fmla="val 39185"/>
            <a:gd name="adj2" fmla="val 0"/>
          </a:avLst>
        </a:prstGeom>
        <a:solidFill>
          <a:schemeClr val="bg1">
            <a:lumMod val="6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Cadastro</a:t>
          </a:r>
        </a:p>
      </xdr:txBody>
    </xdr:sp>
    <xdr:clientData/>
  </xdr:twoCellAnchor>
  <xdr:twoCellAnchor>
    <xdr:from>
      <xdr:col>2</xdr:col>
      <xdr:colOff>227494</xdr:colOff>
      <xdr:row>0</xdr:row>
      <xdr:rowOff>147103</xdr:rowOff>
    </xdr:from>
    <xdr:to>
      <xdr:col>3</xdr:col>
      <xdr:colOff>871045</xdr:colOff>
      <xdr:row>1</xdr:row>
      <xdr:rowOff>5374</xdr:rowOff>
    </xdr:to>
    <xdr:sp macro="" textlink="">
      <xdr:nvSpPr>
        <xdr:cNvPr id="4" name="Retângulo com Canto Aparado do Mesmo Lado 3"/>
        <xdr:cNvSpPr/>
      </xdr:nvSpPr>
      <xdr:spPr>
        <a:xfrm>
          <a:off x="3989869" y="147103"/>
          <a:ext cx="1691301" cy="363096"/>
        </a:xfrm>
        <a:prstGeom prst="snip2SameRect">
          <a:avLst>
            <a:gd name="adj1" fmla="val 39185"/>
            <a:gd name="adj2" fmla="val 0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Lançamentos</a:t>
          </a:r>
        </a:p>
      </xdr:txBody>
    </xdr:sp>
    <xdr:clientData/>
  </xdr:twoCellAnchor>
  <xdr:oneCellAnchor>
    <xdr:from>
      <xdr:col>6</xdr:col>
      <xdr:colOff>2266950</xdr:colOff>
      <xdr:row>0</xdr:row>
      <xdr:rowOff>0</xdr:rowOff>
    </xdr:from>
    <xdr:ext cx="2199513" cy="564706"/>
    <xdr:sp macro="" textlink="">
      <xdr:nvSpPr>
        <xdr:cNvPr id="8" name="CaixaDeTexto 7"/>
        <xdr:cNvSpPr txBox="1"/>
      </xdr:nvSpPr>
      <xdr:spPr>
        <a:xfrm>
          <a:off x="10220325" y="0"/>
          <a:ext cx="2199513" cy="56470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400">
              <a:solidFill>
                <a:srgbClr val="00B050"/>
              </a:solidFill>
              <a:latin typeface="Arial Black" panose="020B0A04020102020204" pitchFamily="34" charset="0"/>
            </a:rPr>
            <a:t>Douglas Barros Nery</a:t>
          </a:r>
          <a:r>
            <a:rPr lang="pt-BR" sz="1400"/>
            <a:t/>
          </a:r>
          <a:br>
            <a:rPr lang="pt-BR" sz="1400"/>
          </a:br>
          <a:r>
            <a:rPr lang="pt-BR" sz="1400" b="1"/>
            <a:t>Controle de Estoque</a:t>
          </a:r>
        </a:p>
      </xdr:txBody>
    </xdr:sp>
    <xdr:clientData/>
  </xdr:oneCellAnchor>
</xdr:wsDr>
</file>

<file path=xl/tables/table1.xml><?xml version="1.0" encoding="utf-8"?>
<table xmlns="http://schemas.openxmlformats.org/spreadsheetml/2006/main" id="4" name="TblCadastro" displayName="TblCadastro" ref="A3:F6" totalsRowCount="1" headerRowDxfId="24" totalsRowDxfId="23">
  <autoFilter ref="A3:F5"/>
  <tableColumns count="6">
    <tableColumn id="1" name="PRODUTO" totalsRowLabel="Total" totalsRowDxfId="20"/>
    <tableColumn id="2" name="MEDIDA" totalsRowDxfId="19"/>
    <tableColumn id="3" name="ESTOQUE_x000a_MÍNIMO" totalsRowDxfId="18"/>
    <tableColumn id="4" name="ESTOQUE_x000a_MÁXIMO" totalsRowDxfId="17"/>
    <tableColumn id="5" name="SALDO" dataDxfId="21" totalsRowDxfId="16">
      <calculatedColumnFormula>SUMIF(TblLancamentos[PRODUTO],TblCadastro[[#This Row],[PRODUTO]],TblLancamentos[ENTRADA])-SUMIF(TblLancamentos[PRODUTO],TblCadastro[[#This Row],[PRODUTO]],TblLancamentos[SAÍDA])</calculatedColumnFormula>
    </tableColumn>
    <tableColumn id="6" name="AVISOS" totalsRowFunction="count" dataDxfId="22" totalsRowDxfId="15"/>
  </tableColumns>
  <tableStyleInfo name="EstiloTabelaPersonalizado" showFirstColumn="0" showLastColumn="0" showRowStripes="1" showColumnStripes="0"/>
</table>
</file>

<file path=xl/tables/table2.xml><?xml version="1.0" encoding="utf-8"?>
<table xmlns="http://schemas.openxmlformats.org/spreadsheetml/2006/main" id="5" name="TblLancamentos" displayName="TblLancamentos" ref="A3:E7" totalsRowCount="1" headerRowDxfId="14" totalsRowDxfId="13">
  <autoFilter ref="A3:E6"/>
  <tableColumns count="5">
    <tableColumn id="1" name="PRODUTO" totalsRowLabel="Total" totalsRowDxfId="4"/>
    <tableColumn id="2" name="DATA" totalsRowFunction="count" dataDxfId="12" totalsRowDxfId="3"/>
    <tableColumn id="3" name="ENTRADA" totalsRowFunction="sum" dataDxfId="11" totalsRowDxfId="2"/>
    <tableColumn id="4" name="SAÍDA" totalsRowFunction="sum" dataDxfId="10" totalsRowDxfId="1"/>
    <tableColumn id="5" name="SALDO" totalsRowFunction="count" dataDxfId="9" totalsRowDxfId="0"/>
  </tableColumns>
  <tableStyleInfo name="EstiloTabelaPersonalizado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showGridLines="0" zoomScaleNormal="100" workbookViewId="0">
      <selection activeCell="C3" sqref="C3"/>
    </sheetView>
  </sheetViews>
  <sheetFormatPr defaultColWidth="0" defaultRowHeight="15" x14ac:dyDescent="0.25"/>
  <cols>
    <col min="1" max="1" width="40.7109375" customWidth="1"/>
    <col min="2" max="6" width="15.7109375" customWidth="1"/>
    <col min="7" max="7" width="67" customWidth="1"/>
    <col min="8" max="16384" width="9.140625" hidden="1"/>
  </cols>
  <sheetData>
    <row r="1" s="1" customFormat="1" ht="39.950000000000003" customHeight="1" x14ac:dyDescent="0.25"/>
  </sheetData>
  <sheetProtection selectLockedCells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showGridLines="0" tabSelected="1" zoomScaleNormal="100" workbookViewId="0">
      <selection activeCell="G1" sqref="G1"/>
    </sheetView>
  </sheetViews>
  <sheetFormatPr defaultColWidth="0" defaultRowHeight="15" x14ac:dyDescent="0.25"/>
  <cols>
    <col min="1" max="1" width="40.7109375" customWidth="1"/>
    <col min="2" max="6" width="15.7109375" customWidth="1"/>
    <col min="7" max="7" width="67" customWidth="1"/>
    <col min="8" max="16384" width="9.140625" hidden="1"/>
  </cols>
  <sheetData>
    <row r="1" spans="1:6" s="1" customFormat="1" ht="39.950000000000003" customHeight="1" x14ac:dyDescent="0.25"/>
    <row r="3" spans="1:6" ht="30" x14ac:dyDescent="0.25">
      <c r="A3" s="2" t="s">
        <v>0</v>
      </c>
      <c r="B3" s="2" t="s">
        <v>1</v>
      </c>
      <c r="C3" s="3" t="s">
        <v>2</v>
      </c>
      <c r="D3" s="3" t="s">
        <v>7</v>
      </c>
      <c r="E3" s="2" t="s">
        <v>3</v>
      </c>
      <c r="F3" s="2" t="s">
        <v>4</v>
      </c>
    </row>
    <row r="4" spans="1:6" x14ac:dyDescent="0.25">
      <c r="A4" t="s">
        <v>5</v>
      </c>
      <c r="B4" t="s">
        <v>6</v>
      </c>
      <c r="C4">
        <v>15</v>
      </c>
      <c r="D4">
        <v>150</v>
      </c>
      <c r="E4" s="1">
        <f>SUMIF(TblLancamentos[PRODUTO],TblCadastro[[#This Row],[PRODUTO]],TblLancamentos[ENTRADA])-SUMIF(TblLancamentos[PRODUTO],TblCadastro[[#This Row],[PRODUTO]],TblLancamentos[SAÍDA])</f>
        <v>35</v>
      </c>
      <c r="F4" s="1"/>
    </row>
    <row r="5" spans="1:6" x14ac:dyDescent="0.25">
      <c r="A5" t="s">
        <v>8</v>
      </c>
      <c r="B5" t="s">
        <v>6</v>
      </c>
      <c r="C5">
        <v>15</v>
      </c>
      <c r="D5">
        <v>150</v>
      </c>
      <c r="E5" s="1">
        <f>SUMIF(TblLancamentos[PRODUTO],TblCadastro[[#This Row],[PRODUTO]],TblLancamentos[ENTRADA])-SUMIF(TblLancamentos[PRODUTO],TblCadastro[[#This Row],[PRODUTO]],TblLancamentos[SAÍDA])</f>
        <v>48</v>
      </c>
      <c r="F5" s="1"/>
    </row>
    <row r="6" spans="1:6" x14ac:dyDescent="0.25">
      <c r="A6" s="1" t="s">
        <v>9</v>
      </c>
      <c r="B6" s="1"/>
      <c r="C6" s="1"/>
      <c r="D6" s="1"/>
      <c r="E6" s="1"/>
      <c r="F6" s="1">
        <f>SUBTOTAL(103,TblCadastro[AVISOS])</f>
        <v>0</v>
      </c>
    </row>
  </sheetData>
  <conditionalFormatting sqref="A4:D5">
    <cfRule type="expression" dxfId="7" priority="1">
      <formula>ODD(ROW())=ROW()</formula>
    </cfRule>
  </conditionalFormatting>
  <dataValidations count="1">
    <dataValidation type="whole" allowBlank="1" showInputMessage="1" showErrorMessage="1" sqref="C4:D5">
      <formula1>0</formula1>
      <formula2>1000000000</formula2>
    </dataValidation>
  </dataValidation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showGridLines="0" zoomScaleNormal="100" workbookViewId="0">
      <selection activeCell="G1" sqref="G1"/>
    </sheetView>
  </sheetViews>
  <sheetFormatPr defaultColWidth="0" defaultRowHeight="15" x14ac:dyDescent="0.25"/>
  <cols>
    <col min="1" max="1" width="40.7109375" customWidth="1"/>
    <col min="2" max="6" width="15.7109375" customWidth="1"/>
    <col min="7" max="7" width="67" customWidth="1"/>
    <col min="8" max="16384" width="9.140625" hidden="1"/>
  </cols>
  <sheetData>
    <row r="1" spans="1:5" s="1" customFormat="1" ht="39.950000000000003" customHeight="1" x14ac:dyDescent="0.25"/>
    <row r="3" spans="1:5" x14ac:dyDescent="0.25">
      <c r="A3" s="2" t="s">
        <v>0</v>
      </c>
      <c r="B3" s="2" t="s">
        <v>10</v>
      </c>
      <c r="C3" s="8" t="s">
        <v>11</v>
      </c>
      <c r="D3" s="7" t="s">
        <v>12</v>
      </c>
      <c r="E3" s="2" t="s">
        <v>3</v>
      </c>
    </row>
    <row r="4" spans="1:5" x14ac:dyDescent="0.25">
      <c r="A4" t="s">
        <v>5</v>
      </c>
      <c r="B4" s="4">
        <v>43698</v>
      </c>
      <c r="C4" s="5">
        <v>30</v>
      </c>
      <c r="D4" s="5">
        <v>5</v>
      </c>
      <c r="E4" s="6"/>
    </row>
    <row r="5" spans="1:5" x14ac:dyDescent="0.25">
      <c r="A5" t="s">
        <v>5</v>
      </c>
      <c r="B5" s="4">
        <v>43699</v>
      </c>
      <c r="C5" s="5">
        <v>20</v>
      </c>
      <c r="D5" s="5">
        <v>10</v>
      </c>
      <c r="E5" s="6"/>
    </row>
    <row r="6" spans="1:5" x14ac:dyDescent="0.25">
      <c r="A6" t="s">
        <v>8</v>
      </c>
      <c r="B6" s="4">
        <v>43605</v>
      </c>
      <c r="C6" s="5">
        <v>50</v>
      </c>
      <c r="D6" s="5">
        <v>2</v>
      </c>
      <c r="E6" s="6"/>
    </row>
    <row r="7" spans="1:5" x14ac:dyDescent="0.25">
      <c r="A7" s="9" t="s">
        <v>9</v>
      </c>
      <c r="B7" s="1">
        <f>SUBTOTAL(103,TblLancamentos[DATA])</f>
        <v>3</v>
      </c>
      <c r="C7" s="6">
        <f>SUBTOTAL(109,TblLancamentos[ENTRADA])</f>
        <v>100</v>
      </c>
      <c r="D7" s="6">
        <f>SUBTOTAL(109,TblLancamentos[SAÍDA])</f>
        <v>17</v>
      </c>
      <c r="E7" s="1">
        <f>SUBTOTAL(103,TblLancamentos[SALDO])</f>
        <v>0</v>
      </c>
    </row>
  </sheetData>
  <conditionalFormatting sqref="A4:D6">
    <cfRule type="expression" dxfId="6" priority="1">
      <formula>ODD(ROW())=ROW()</formula>
    </cfRule>
  </conditionalFormatting>
  <dataValidations count="3">
    <dataValidation type="date" allowBlank="1" showInputMessage="1" showErrorMessage="1" errorTitle="Erro" error="Por favor_x000a__x000a_Digite uma data válida_x000a__x000a_Ex: 04/05/2020" sqref="B4:B6">
      <formula1>1</formula1>
      <formula2>401769</formula2>
    </dataValidation>
    <dataValidation type="whole" allowBlank="1" showInputMessage="1" showErrorMessage="1" sqref="C4:D6">
      <formula1>0</formula1>
      <formula2>1000000000</formula2>
    </dataValidation>
    <dataValidation type="list" allowBlank="1" showInputMessage="1" showErrorMessage="1" sqref="A4:A6">
      <formula1>ColunaProdutos</formula1>
    </dataValidation>
  </dataValidation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Início</vt:lpstr>
      <vt:lpstr>Cadastro</vt:lpstr>
      <vt:lpstr>Lançamentos</vt:lpstr>
      <vt:lpstr>ColunaProdutos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2020-03-28T16:42:46Z</dcterms:modified>
</cp:coreProperties>
</file>