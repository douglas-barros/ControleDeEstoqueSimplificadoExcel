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 activeTab="1"/>
  </bookViews>
  <sheets>
    <sheet name="Início" sheetId="1" r:id="rId1"/>
    <sheet name="Cadastro" sheetId="7" r:id="rId2"/>
    <sheet name="Lançamentos" sheetId="6" r:id="rId3"/>
  </sheets>
  <definedNames>
    <definedName name="ColunaProdutos">TblCadastro[PRODUTO]</definedName>
  </definedNames>
  <calcPr calcId="145621"/>
</workbook>
</file>

<file path=xl/calcChain.xml><?xml version="1.0" encoding="utf-8"?>
<calcChain xmlns="http://schemas.openxmlformats.org/spreadsheetml/2006/main">
  <c r="E8" i="6" l="1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6" i="7"/>
  <c r="F6" i="7" s="1"/>
  <c r="E7" i="7"/>
  <c r="F7" i="7" s="1"/>
  <c r="E8" i="7"/>
  <c r="F8" i="7" s="1"/>
  <c r="E9" i="7"/>
  <c r="F9" i="7" s="1"/>
  <c r="E10" i="7"/>
  <c r="F10" i="7" s="1"/>
  <c r="E11" i="7"/>
  <c r="F11" i="7" s="1"/>
  <c r="E7" i="6" l="1"/>
  <c r="E4" i="6"/>
  <c r="E5" i="6"/>
  <c r="E6" i="6"/>
  <c r="E5" i="7" l="1"/>
  <c r="F5" i="7" s="1"/>
  <c r="E4" i="7"/>
  <c r="E12" i="7" s="1"/>
  <c r="F4" i="7" l="1"/>
  <c r="D108" i="6"/>
  <c r="C108" i="6"/>
  <c r="E108" i="6"/>
</calcChain>
</file>

<file path=xl/sharedStrings.xml><?xml version="1.0" encoding="utf-8"?>
<sst xmlns="http://schemas.openxmlformats.org/spreadsheetml/2006/main" count="133" uniqueCount="20">
  <si>
    <t>PRODUTO</t>
  </si>
  <si>
    <t>MEDIDA</t>
  </si>
  <si>
    <t>SALDO</t>
  </si>
  <si>
    <t>AVISOS</t>
  </si>
  <si>
    <t>Caneta esferográfica azul</t>
  </si>
  <si>
    <t>Unidade</t>
  </si>
  <si>
    <t>Caneta esferográfica preta</t>
  </si>
  <si>
    <t>Total</t>
  </si>
  <si>
    <t>DATA</t>
  </si>
  <si>
    <t>ENTRADA</t>
  </si>
  <si>
    <t>SAÍDA</t>
  </si>
  <si>
    <t>ESTOQUE MÍNIMO</t>
  </si>
  <si>
    <t>ESTOQUE MÁXIMO</t>
  </si>
  <si>
    <t>Caneta esferográfica vermelha</t>
  </si>
  <si>
    <t>Cola branca 90ml</t>
  </si>
  <si>
    <t>Lápis preto # 2</t>
  </si>
  <si>
    <t>Caixa</t>
  </si>
  <si>
    <t>Lapiseira 0,5mm</t>
  </si>
  <si>
    <t>Lapiseira 0,7mm</t>
  </si>
  <si>
    <t>Lapiseira 0,9mm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</si>
</sst>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vertical="top"/>
    </xf>
    <xf numFmtId="14" fontId="0" fillId="0" borderId="0" xfId="0" applyNumberFormat="1"/>
    <xf numFmtId="1" fontId="0" fillId="0" borderId="0" xfId="0" applyNumberFormat="1"/>
    <xf numFmtId="1" fontId="0" fillId="2" borderId="0" xfId="0" applyNumberFormat="1" applyFill="1"/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5" fillId="2" borderId="0" xfId="0" applyFont="1" applyFill="1"/>
    <xf numFmtId="0" fontId="5" fillId="2" borderId="0" xfId="0" applyFont="1" applyFill="1" applyProtection="1"/>
    <xf numFmtId="0" fontId="0" fillId="2" borderId="0" xfId="0" applyFill="1" applyProtection="1"/>
    <xf numFmtId="0" fontId="1" fillId="2" borderId="0" xfId="0" applyFont="1" applyFill="1" applyAlignment="1" applyProtection="1">
      <alignment vertical="top"/>
    </xf>
    <xf numFmtId="0" fontId="1" fillId="2" borderId="0" xfId="0" applyFont="1" applyFill="1" applyAlignment="1" applyProtection="1">
      <alignment vertical="top" wrapText="1"/>
    </xf>
    <xf numFmtId="0" fontId="0" fillId="0" borderId="0" xfId="0" applyProtection="1"/>
    <xf numFmtId="0" fontId="0" fillId="2" borderId="0" xfId="0" applyNumberFormat="1" applyFill="1" applyProtection="1"/>
    <xf numFmtId="0" fontId="4" fillId="0" borderId="0" xfId="0" applyFont="1" applyProtection="1"/>
  </cellXfs>
  <cellStyles count="1">
    <cellStyle name="Normal" xfId="0" builtinId="0"/>
  </cellStyles>
  <dxfs count="31">
    <dxf>
      <fill>
        <patternFill patternType="solid">
          <fgColor indexed="64"/>
          <bgColor theme="0" tint="-0.14999847407452621"/>
        </patternFill>
      </fill>
    </dxf>
    <dxf>
      <numFmt numFmtId="1" formatCode="0"/>
      <fill>
        <patternFill patternType="solid">
          <fgColor indexed="64"/>
          <bgColor theme="0" tint="-0.14999847407452621"/>
        </patternFill>
      </fill>
    </dxf>
    <dxf>
      <numFmt numFmtId="1" formatCode="0"/>
      <fill>
        <patternFill patternType="solid">
          <fgColor indexed="64"/>
          <bgColor theme="0" tint="-0.14999847407452621"/>
        </patternFill>
      </fill>
    </dxf>
    <dxf>
      <numFmt numFmtId="1" formatCode="0"/>
    </dxf>
    <dxf>
      <numFmt numFmtId="1" formatCode="0"/>
      <fill>
        <patternFill patternType="solid">
          <fgColor indexed="64"/>
          <bgColor theme="0" tint="-0.14999847407452621"/>
        </patternFill>
      </fill>
    </dxf>
    <dxf>
      <numFmt numFmtId="1" formatCode="0"/>
    </dxf>
    <dxf>
      <fill>
        <patternFill patternType="solid">
          <fgColor indexed="64"/>
          <bgColor theme="0" tint="-0.14999847407452621"/>
        </patternFill>
      </fill>
    </dxf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 tint="-0.14999847407452621"/>
        </patternFill>
      </fill>
      <alignment horizontal="general" vertical="top" textRotation="0" wrapText="0" indent="0" justifyLastLine="0" shrinkToFit="0" readingOrder="0"/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theme="0" tint="-4.9989318521683403E-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0" tint="-0.14999847407452621"/>
        </patternFill>
      </fill>
      <protection locked="1" hidden="0"/>
    </dxf>
    <dxf>
      <fill>
        <patternFill patternType="solid">
          <fgColor indexed="64"/>
          <bgColor theme="0" tint="-0.14999847407452621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0" tint="-0.14999847407452621"/>
        </patternFill>
      </fill>
      <protection locked="1" hidden="0"/>
    </dxf>
    <dxf>
      <fill>
        <patternFill patternType="solid">
          <fgColor indexed="64"/>
          <bgColor theme="0" tint="-0.14999847407452621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0" tint="-0.14999847407452621"/>
        </patternFill>
      </fill>
      <protection locked="1" hidden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0" tint="-0.14999847407452621"/>
        </patternFill>
      </fill>
      <protection locked="1" hidden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0" tint="-0.14999847407452621"/>
        </patternFill>
      </fill>
      <protection locked="1" hidden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0" tint="-0.14999847407452621"/>
        </patternFill>
      </fill>
      <protection locked="1" hidden="0"/>
    </dxf>
    <dxf>
      <protection locked="1" hidden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0" tint="-0.14999847407452621"/>
        </patternFill>
      </fill>
      <protection locked="1" hidden="0"/>
    </dxf>
    <dxf>
      <protection locked="1" hidden="0"/>
    </dxf>
    <dxf>
      <font>
        <b/>
      </font>
      <fill>
        <patternFill patternType="solid">
          <fgColor indexed="64"/>
          <bgColor theme="0" tint="-0.14999847407452621"/>
        </patternFill>
      </fill>
      <alignment horizontal="general" vertical="top" textRotation="0" wrapText="0" indent="0" justifyLastLine="0" shrinkToFit="0" readingOrder="0"/>
      <protection locked="1" hidden="0"/>
    </dxf>
    <dxf>
      <font>
        <b/>
        <i val="0"/>
        <color rgb="FFFF0000"/>
      </font>
    </dxf>
    <dxf>
      <font>
        <b/>
        <i val="0"/>
        <color rgb="FFFFFF66"/>
      </font>
      <fill>
        <patternFill>
          <bgColor theme="2" tint="-0.89996032593768116"/>
        </patternFill>
      </fill>
    </dxf>
    <dxf>
      <fill>
        <patternFill>
          <bgColor theme="0" tint="-4.9989318521683403E-2"/>
        </patternFill>
      </fill>
    </dxf>
  </dxfs>
  <tableStyles count="1" defaultTableStyle="TableStyleMedium2" defaultPivotStyle="PivotStyleMedium9">
    <tableStyle name="EstiloTabelaPersonalizado" pivot="0" count="0"/>
  </tableStyles>
  <colors>
    <mruColors>
      <color rgb="FFFFFF66"/>
      <color rgb="FFFFFF99"/>
      <color rgb="FF008000"/>
      <color rgb="FF0066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Cadastro!$E$3</c:f>
              <c:strCache>
                <c:ptCount val="1"/>
                <c:pt idx="0">
                  <c:v>SALDO</c:v>
                </c:pt>
              </c:strCache>
            </c:strRef>
          </c:tx>
          <c:dLbls>
            <c:numFmt formatCode="0%" sourceLinked="0"/>
            <c:spPr>
              <a:ln>
                <a:noFill/>
              </a:ln>
            </c:spPr>
            <c:txPr>
              <a:bodyPr/>
              <a:lstStyle/>
              <a:p>
                <a:pPr>
                  <a:defRPr sz="1300" b="1">
                    <a:solidFill>
                      <a:schemeClr val="tx1"/>
                    </a:solidFill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Cadastro!$A$4:$A$12</c:f>
              <c:strCache>
                <c:ptCount val="8"/>
                <c:pt idx="0">
                  <c:v>Caneta esferográfica azul</c:v>
                </c:pt>
                <c:pt idx="1">
                  <c:v>Caneta esferográfica preta</c:v>
                </c:pt>
                <c:pt idx="2">
                  <c:v>Caneta esferográfica vermelha</c:v>
                </c:pt>
                <c:pt idx="3">
                  <c:v>Cola branca 90ml</c:v>
                </c:pt>
                <c:pt idx="4">
                  <c:v>Lápis preto # 2</c:v>
                </c:pt>
                <c:pt idx="5">
                  <c:v>Lapiseira 0,5mm</c:v>
                </c:pt>
                <c:pt idx="6">
                  <c:v>Lapiseira 0,7mm</c:v>
                </c:pt>
                <c:pt idx="7">
                  <c:v>Lapiseira 0,9mm</c:v>
                </c:pt>
              </c:strCache>
            </c:strRef>
          </c:cat>
          <c:val>
            <c:numRef>
              <c:f>Cadastro!$E$4:$E$12</c:f>
              <c:numCache>
                <c:formatCode>General</c:formatCode>
                <c:ptCount val="8"/>
                <c:pt idx="0">
                  <c:v>22</c:v>
                </c:pt>
                <c:pt idx="1">
                  <c:v>11</c:v>
                </c:pt>
                <c:pt idx="2">
                  <c:v>22</c:v>
                </c:pt>
                <c:pt idx="3">
                  <c:v>35</c:v>
                </c:pt>
                <c:pt idx="4">
                  <c:v>56</c:v>
                </c:pt>
                <c:pt idx="5">
                  <c:v>64</c:v>
                </c:pt>
                <c:pt idx="6">
                  <c:v>23</c:v>
                </c:pt>
                <c:pt idx="7">
                  <c:v>30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45"/>
      </c:doughnutChart>
    </c:plotArea>
    <c:plotVisOnly val="1"/>
    <c:dispBlanksAs val="gap"/>
    <c:showDLblsOverMax val="0"/>
  </c:chart>
  <c:spPr>
    <a:ln>
      <a:solidFill>
        <a:sysClr val="windowText" lastClr="000000"/>
      </a:solidFill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#Lan&#231;amentos!G1"/><Relationship Id="rId1" Type="http://schemas.openxmlformats.org/officeDocument/2006/relationships/hyperlink" Target="#Cadastro!G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hyperlink" Target="#Lan&#231;amentos!G1"/><Relationship Id="rId1" Type="http://schemas.openxmlformats.org/officeDocument/2006/relationships/hyperlink" Target="#In&#237;cio!G1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hyperlink" Target="#Cadastro!G1"/><Relationship Id="rId1" Type="http://schemas.openxmlformats.org/officeDocument/2006/relationships/hyperlink" Target="#In&#237;cio!G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437044</xdr:colOff>
      <xdr:row>0</xdr:row>
      <xdr:rowOff>147647</xdr:rowOff>
    </xdr:from>
    <xdr:to>
      <xdr:col>0</xdr:col>
      <xdr:colOff>2128345</xdr:colOff>
      <xdr:row>1</xdr:row>
      <xdr:rowOff>5374</xdr:rowOff>
    </xdr:to>
    <xdr:sp macro="" textlink="">
      <xdr:nvSpPr>
        <xdr:cNvPr id="2" name="Retângulo com Canto Aparado do Mesmo Lado 1"/>
        <xdr:cNvSpPr/>
      </xdr:nvSpPr>
      <xdr:spPr>
        <a:xfrm>
          <a:off x="437044" y="147647"/>
          <a:ext cx="1691301" cy="363913"/>
        </a:xfrm>
        <a:prstGeom prst="snip2SameRect">
          <a:avLst>
            <a:gd name="adj1" fmla="val 39185"/>
            <a:gd name="adj2" fmla="val 0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Início</a:t>
          </a:r>
        </a:p>
      </xdr:txBody>
    </xdr:sp>
    <xdr:clientData/>
  </xdr:twoCellAnchor>
  <xdr:twoCellAnchor>
    <xdr:from>
      <xdr:col>0</xdr:col>
      <xdr:colOff>2213457</xdr:colOff>
      <xdr:row>0</xdr:row>
      <xdr:rowOff>147103</xdr:rowOff>
    </xdr:from>
    <xdr:to>
      <xdr:col>2</xdr:col>
      <xdr:colOff>142383</xdr:colOff>
      <xdr:row>1</xdr:row>
      <xdr:rowOff>5374</xdr:rowOff>
    </xdr:to>
    <xdr:sp macro="" textlink="">
      <xdr:nvSpPr>
        <xdr:cNvPr id="3" name="Retângulo com Canto Aparado do Mesmo Lado 2">
          <a:hlinkClick xmlns:r="http://schemas.openxmlformats.org/officeDocument/2006/relationships" r:id="rId1"/>
        </xdr:cNvPr>
        <xdr:cNvSpPr/>
      </xdr:nvSpPr>
      <xdr:spPr>
        <a:xfrm>
          <a:off x="2213457" y="147103"/>
          <a:ext cx="1695383" cy="364457"/>
        </a:xfrm>
        <a:prstGeom prst="snip2SameRect">
          <a:avLst>
            <a:gd name="adj1" fmla="val 39185"/>
            <a:gd name="adj2" fmla="val 0"/>
          </a:avLst>
        </a:prstGeom>
        <a:solidFill>
          <a:schemeClr val="bg1">
            <a:lumMod val="6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Cadastro</a:t>
          </a:r>
        </a:p>
      </xdr:txBody>
    </xdr:sp>
    <xdr:clientData/>
  </xdr:twoCellAnchor>
  <xdr:twoCellAnchor>
    <xdr:from>
      <xdr:col>2</xdr:col>
      <xdr:colOff>227494</xdr:colOff>
      <xdr:row>0</xdr:row>
      <xdr:rowOff>147103</xdr:rowOff>
    </xdr:from>
    <xdr:to>
      <xdr:col>3</xdr:col>
      <xdr:colOff>871045</xdr:colOff>
      <xdr:row>1</xdr:row>
      <xdr:rowOff>5374</xdr:rowOff>
    </xdr:to>
    <xdr:sp macro="" textlink="">
      <xdr:nvSpPr>
        <xdr:cNvPr id="4" name="Retângulo com Canto Aparado do Mesmo Lado 3">
          <a:hlinkClick xmlns:r="http://schemas.openxmlformats.org/officeDocument/2006/relationships" r:id="rId2"/>
        </xdr:cNvPr>
        <xdr:cNvSpPr/>
      </xdr:nvSpPr>
      <xdr:spPr>
        <a:xfrm>
          <a:off x="3993951" y="147103"/>
          <a:ext cx="1694023" cy="364457"/>
        </a:xfrm>
        <a:prstGeom prst="snip2SameRect">
          <a:avLst>
            <a:gd name="adj1" fmla="val 39185"/>
            <a:gd name="adj2" fmla="val 0"/>
          </a:avLst>
        </a:prstGeom>
        <a:solidFill>
          <a:schemeClr val="bg1">
            <a:lumMod val="6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Lançamentos</a:t>
          </a:r>
        </a:p>
      </xdr:txBody>
    </xdr:sp>
    <xdr:clientData/>
  </xdr:twoCellAnchor>
  <xdr:oneCellAnchor>
    <xdr:from>
      <xdr:col>2</xdr:col>
      <xdr:colOff>574632</xdr:colOff>
      <xdr:row>4</xdr:row>
      <xdr:rowOff>57150</xdr:rowOff>
    </xdr:from>
    <xdr:ext cx="4162425" cy="843693"/>
    <xdr:sp macro="" textlink="">
      <xdr:nvSpPr>
        <xdr:cNvPr id="5" name="CaixaDeTexto 4"/>
        <xdr:cNvSpPr txBox="1"/>
      </xdr:nvSpPr>
      <xdr:spPr>
        <a:xfrm>
          <a:off x="4337007" y="1133475"/>
          <a:ext cx="4162425" cy="843693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pt-BR" sz="2400" b="1">
              <a:latin typeface="Calibri" panose="020F0502020204030204" pitchFamily="34" charset="0"/>
              <a:cs typeface="Calibri" panose="020F0502020204030204" pitchFamily="34" charset="0"/>
            </a:rPr>
            <a:t>CONTROLE DE ESTOQUES SIMPLIFICADO</a:t>
          </a:r>
        </a:p>
      </xdr:txBody>
    </xdr:sp>
    <xdr:clientData/>
  </xdr:oneCellAnchor>
  <xdr:oneCellAnchor>
    <xdr:from>
      <xdr:col>1</xdr:col>
      <xdr:colOff>805365</xdr:colOff>
      <xdr:row>11</xdr:row>
      <xdr:rowOff>57150</xdr:rowOff>
    </xdr:from>
    <xdr:ext cx="5796459" cy="1203856"/>
    <xdr:sp macro="" textlink="">
      <xdr:nvSpPr>
        <xdr:cNvPr id="6" name="CaixaDeTexto 5"/>
        <xdr:cNvSpPr txBox="1"/>
      </xdr:nvSpPr>
      <xdr:spPr>
        <a:xfrm>
          <a:off x="3519990" y="2466975"/>
          <a:ext cx="5796459" cy="1203856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pt-BR" sz="1800" b="1">
              <a:latin typeface="Calibri" panose="020F0502020204030204" pitchFamily="34" charset="0"/>
              <a:cs typeface="Calibri" panose="020F0502020204030204" pitchFamily="34" charset="0"/>
            </a:rPr>
            <a:t>ORIENTAÇÕES</a:t>
          </a:r>
          <a:r>
            <a:rPr lang="pt-BR" sz="1100"/>
            <a:t/>
          </a:r>
          <a:br>
            <a:rPr lang="pt-BR" sz="1100"/>
          </a:br>
          <a:r>
            <a:rPr lang="pt-BR" sz="1100"/>
            <a:t/>
          </a:r>
          <a:br>
            <a:rPr lang="pt-BR" sz="1100"/>
          </a:br>
          <a:r>
            <a:rPr lang="pt-BR" sz="1400" b="0" i="0" u="none" strike="noStrike" baseline="0" smtClean="0">
              <a:solidFill>
                <a:schemeClr val="tx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1. Cadastrar o produto na aba "Cadastro".</a:t>
          </a:r>
        </a:p>
        <a:p>
          <a:pPr algn="ctr"/>
          <a:r>
            <a:rPr lang="pt-BR" sz="1400" b="0" i="0" u="none" strike="noStrike" baseline="0" smtClean="0">
              <a:solidFill>
                <a:schemeClr val="tx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2. Registrar as entradas e saídas na aba "Lançamentos".</a:t>
          </a:r>
        </a:p>
        <a:p>
          <a:pPr algn="ctr"/>
          <a:r>
            <a:rPr lang="pt-BR" sz="1400" b="0" i="0" u="none" strike="noStrike" baseline="0" smtClean="0">
              <a:solidFill>
                <a:schemeClr val="tx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3. Relatórios e consultas usar os filtros nas abas "Cadastro" e "Lançamentos</a:t>
          </a:r>
          <a:r>
            <a:rPr lang="pt-BR" sz="1200" b="0" i="0" u="none" strike="noStrike" baseline="0" smtClean="0">
              <a:solidFill>
                <a:schemeClr val="tx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".</a:t>
          </a:r>
          <a:endParaRPr lang="pt-BR" sz="1200">
            <a:latin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oneCellAnchor>
  <xdr:oneCellAnchor>
    <xdr:from>
      <xdr:col>6</xdr:col>
      <xdr:colOff>1848612</xdr:colOff>
      <xdr:row>0</xdr:row>
      <xdr:rowOff>0</xdr:rowOff>
    </xdr:from>
    <xdr:ext cx="2199513" cy="564706"/>
    <xdr:sp macro="" textlink="">
      <xdr:nvSpPr>
        <xdr:cNvPr id="7" name="CaixaDeTexto 6"/>
        <xdr:cNvSpPr txBox="1"/>
      </xdr:nvSpPr>
      <xdr:spPr>
        <a:xfrm>
          <a:off x="10268712" y="0"/>
          <a:ext cx="2199513" cy="56470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1400">
              <a:solidFill>
                <a:srgbClr val="00B050"/>
              </a:solidFill>
              <a:latin typeface="Arial Black" panose="020B0A04020102020204" pitchFamily="34" charset="0"/>
            </a:rPr>
            <a:t>Douglas Barros Nery</a:t>
          </a:r>
          <a:r>
            <a:rPr lang="pt-BR" sz="1400"/>
            <a:t/>
          </a:r>
          <a:br>
            <a:rPr lang="pt-BR" sz="1400"/>
          </a:br>
          <a:r>
            <a:rPr lang="pt-BR" sz="1400" b="1"/>
            <a:t>Controle de Estoque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437044</xdr:colOff>
      <xdr:row>0</xdr:row>
      <xdr:rowOff>147647</xdr:rowOff>
    </xdr:from>
    <xdr:to>
      <xdr:col>0</xdr:col>
      <xdr:colOff>2128345</xdr:colOff>
      <xdr:row>1</xdr:row>
      <xdr:rowOff>5374</xdr:rowOff>
    </xdr:to>
    <xdr:sp macro="" textlink="">
      <xdr:nvSpPr>
        <xdr:cNvPr id="2" name="Retângulo com Canto Aparado do Mesmo Lado 1">
          <a:hlinkClick xmlns:r="http://schemas.openxmlformats.org/officeDocument/2006/relationships" r:id="rId1"/>
        </xdr:cNvPr>
        <xdr:cNvSpPr/>
      </xdr:nvSpPr>
      <xdr:spPr>
        <a:xfrm>
          <a:off x="437044" y="147647"/>
          <a:ext cx="1691301" cy="362552"/>
        </a:xfrm>
        <a:prstGeom prst="snip2SameRect">
          <a:avLst>
            <a:gd name="adj1" fmla="val 39185"/>
            <a:gd name="adj2" fmla="val 0"/>
          </a:avLst>
        </a:prstGeom>
        <a:solidFill>
          <a:schemeClr val="bg1">
            <a:lumMod val="6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Início</a:t>
          </a:r>
        </a:p>
      </xdr:txBody>
    </xdr:sp>
    <xdr:clientData/>
  </xdr:twoCellAnchor>
  <xdr:twoCellAnchor>
    <xdr:from>
      <xdr:col>0</xdr:col>
      <xdr:colOff>2213457</xdr:colOff>
      <xdr:row>0</xdr:row>
      <xdr:rowOff>147103</xdr:rowOff>
    </xdr:from>
    <xdr:to>
      <xdr:col>2</xdr:col>
      <xdr:colOff>142383</xdr:colOff>
      <xdr:row>1</xdr:row>
      <xdr:rowOff>5374</xdr:rowOff>
    </xdr:to>
    <xdr:sp macro="" textlink="">
      <xdr:nvSpPr>
        <xdr:cNvPr id="3" name="Retângulo com Canto Aparado do Mesmo Lado 2"/>
        <xdr:cNvSpPr/>
      </xdr:nvSpPr>
      <xdr:spPr>
        <a:xfrm>
          <a:off x="2213457" y="147103"/>
          <a:ext cx="1691301" cy="363096"/>
        </a:xfrm>
        <a:prstGeom prst="snip2SameRect">
          <a:avLst>
            <a:gd name="adj1" fmla="val 39185"/>
            <a:gd name="adj2" fmla="val 0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Cadastro</a:t>
          </a:r>
        </a:p>
      </xdr:txBody>
    </xdr:sp>
    <xdr:clientData/>
  </xdr:twoCellAnchor>
  <xdr:twoCellAnchor>
    <xdr:from>
      <xdr:col>2</xdr:col>
      <xdr:colOff>227494</xdr:colOff>
      <xdr:row>0</xdr:row>
      <xdr:rowOff>147103</xdr:rowOff>
    </xdr:from>
    <xdr:to>
      <xdr:col>3</xdr:col>
      <xdr:colOff>871045</xdr:colOff>
      <xdr:row>1</xdr:row>
      <xdr:rowOff>5374</xdr:rowOff>
    </xdr:to>
    <xdr:sp macro="" textlink="">
      <xdr:nvSpPr>
        <xdr:cNvPr id="4" name="Retângulo com Canto Aparado do Mesmo Lado 3">
          <a:hlinkClick xmlns:r="http://schemas.openxmlformats.org/officeDocument/2006/relationships" r:id="rId2"/>
        </xdr:cNvPr>
        <xdr:cNvSpPr/>
      </xdr:nvSpPr>
      <xdr:spPr>
        <a:xfrm>
          <a:off x="3989869" y="147103"/>
          <a:ext cx="1691301" cy="363096"/>
        </a:xfrm>
        <a:prstGeom prst="snip2SameRect">
          <a:avLst>
            <a:gd name="adj1" fmla="val 39185"/>
            <a:gd name="adj2" fmla="val 0"/>
          </a:avLst>
        </a:prstGeom>
        <a:solidFill>
          <a:schemeClr val="bg1">
            <a:lumMod val="6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Lançamentos</a:t>
          </a:r>
        </a:p>
      </xdr:txBody>
    </xdr:sp>
    <xdr:clientData/>
  </xdr:twoCellAnchor>
  <xdr:oneCellAnchor>
    <xdr:from>
      <xdr:col>6</xdr:col>
      <xdr:colOff>1848612</xdr:colOff>
      <xdr:row>0</xdr:row>
      <xdr:rowOff>0</xdr:rowOff>
    </xdr:from>
    <xdr:ext cx="2199513" cy="564706"/>
    <xdr:sp macro="" textlink="">
      <xdr:nvSpPr>
        <xdr:cNvPr id="5" name="CaixaDeTexto 4"/>
        <xdr:cNvSpPr txBox="1"/>
      </xdr:nvSpPr>
      <xdr:spPr>
        <a:xfrm>
          <a:off x="10268712" y="0"/>
          <a:ext cx="2199513" cy="56470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1400">
              <a:solidFill>
                <a:srgbClr val="00B050"/>
              </a:solidFill>
              <a:latin typeface="Arial Black" panose="020B0A04020102020204" pitchFamily="34" charset="0"/>
            </a:rPr>
            <a:t>Douglas Barros Nery</a:t>
          </a:r>
          <a:r>
            <a:rPr lang="pt-BR" sz="1400"/>
            <a:t/>
          </a:r>
          <a:br>
            <a:rPr lang="pt-BR" sz="1400"/>
          </a:br>
          <a:r>
            <a:rPr lang="pt-BR" sz="1400" b="1"/>
            <a:t>Controle de Estoque</a:t>
          </a:r>
        </a:p>
      </xdr:txBody>
    </xdr:sp>
    <xdr:clientData/>
  </xdr:oneCellAnchor>
  <xdr:twoCellAnchor editAs="absolute">
    <xdr:from>
      <xdr:col>6</xdr:col>
      <xdr:colOff>142875</xdr:colOff>
      <xdr:row>3</xdr:row>
      <xdr:rowOff>38099</xdr:rowOff>
    </xdr:from>
    <xdr:to>
      <xdr:col>6</xdr:col>
      <xdr:colOff>3962400</xdr:colOff>
      <xdr:row>21</xdr:row>
      <xdr:rowOff>190499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247650</xdr:colOff>
      <xdr:row>2</xdr:row>
      <xdr:rowOff>19050</xdr:rowOff>
    </xdr:from>
    <xdr:to>
      <xdr:col>6</xdr:col>
      <xdr:colOff>3857625</xdr:colOff>
      <xdr:row>2</xdr:row>
      <xdr:rowOff>371475</xdr:rowOff>
    </xdr:to>
    <xdr:sp macro="" textlink="">
      <xdr:nvSpPr>
        <xdr:cNvPr id="7" name="CaixaDeTexto 6"/>
        <xdr:cNvSpPr txBox="1"/>
      </xdr:nvSpPr>
      <xdr:spPr>
        <a:xfrm>
          <a:off x="8667750" y="714375"/>
          <a:ext cx="3609975" cy="3524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400" b="1">
              <a:solidFill>
                <a:schemeClr val="tx1"/>
              </a:solidFill>
            </a:rPr>
            <a:t>COMPOSIÇÃO DO SALDO ATUAL DO ESTOQUE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437044</xdr:colOff>
      <xdr:row>0</xdr:row>
      <xdr:rowOff>147647</xdr:rowOff>
    </xdr:from>
    <xdr:to>
      <xdr:col>0</xdr:col>
      <xdr:colOff>2128345</xdr:colOff>
      <xdr:row>1</xdr:row>
      <xdr:rowOff>5374</xdr:rowOff>
    </xdr:to>
    <xdr:sp macro="" textlink="">
      <xdr:nvSpPr>
        <xdr:cNvPr id="2" name="Retângulo com Canto Aparado do Mesmo Lado 1">
          <a:hlinkClick xmlns:r="http://schemas.openxmlformats.org/officeDocument/2006/relationships" r:id="rId1"/>
        </xdr:cNvPr>
        <xdr:cNvSpPr/>
      </xdr:nvSpPr>
      <xdr:spPr>
        <a:xfrm>
          <a:off x="437044" y="147647"/>
          <a:ext cx="1691301" cy="362552"/>
        </a:xfrm>
        <a:prstGeom prst="snip2SameRect">
          <a:avLst>
            <a:gd name="adj1" fmla="val 39185"/>
            <a:gd name="adj2" fmla="val 0"/>
          </a:avLst>
        </a:prstGeom>
        <a:solidFill>
          <a:schemeClr val="bg1">
            <a:lumMod val="6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Início</a:t>
          </a:r>
        </a:p>
      </xdr:txBody>
    </xdr:sp>
    <xdr:clientData/>
  </xdr:twoCellAnchor>
  <xdr:twoCellAnchor>
    <xdr:from>
      <xdr:col>0</xdr:col>
      <xdr:colOff>2213457</xdr:colOff>
      <xdr:row>0</xdr:row>
      <xdr:rowOff>147103</xdr:rowOff>
    </xdr:from>
    <xdr:to>
      <xdr:col>2</xdr:col>
      <xdr:colOff>142383</xdr:colOff>
      <xdr:row>1</xdr:row>
      <xdr:rowOff>5374</xdr:rowOff>
    </xdr:to>
    <xdr:sp macro="" textlink="">
      <xdr:nvSpPr>
        <xdr:cNvPr id="3" name="Retângulo com Canto Aparado do Mesmo Lado 2">
          <a:hlinkClick xmlns:r="http://schemas.openxmlformats.org/officeDocument/2006/relationships" r:id="rId2"/>
        </xdr:cNvPr>
        <xdr:cNvSpPr/>
      </xdr:nvSpPr>
      <xdr:spPr>
        <a:xfrm>
          <a:off x="2213457" y="147103"/>
          <a:ext cx="1691301" cy="363096"/>
        </a:xfrm>
        <a:prstGeom prst="snip2SameRect">
          <a:avLst>
            <a:gd name="adj1" fmla="val 39185"/>
            <a:gd name="adj2" fmla="val 0"/>
          </a:avLst>
        </a:prstGeom>
        <a:solidFill>
          <a:schemeClr val="bg1">
            <a:lumMod val="6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Cadastro</a:t>
          </a:r>
        </a:p>
      </xdr:txBody>
    </xdr:sp>
    <xdr:clientData/>
  </xdr:twoCellAnchor>
  <xdr:twoCellAnchor>
    <xdr:from>
      <xdr:col>2</xdr:col>
      <xdr:colOff>227494</xdr:colOff>
      <xdr:row>0</xdr:row>
      <xdr:rowOff>147103</xdr:rowOff>
    </xdr:from>
    <xdr:to>
      <xdr:col>3</xdr:col>
      <xdr:colOff>871045</xdr:colOff>
      <xdr:row>1</xdr:row>
      <xdr:rowOff>5374</xdr:rowOff>
    </xdr:to>
    <xdr:sp macro="" textlink="">
      <xdr:nvSpPr>
        <xdr:cNvPr id="4" name="Retângulo com Canto Aparado do Mesmo Lado 3"/>
        <xdr:cNvSpPr/>
      </xdr:nvSpPr>
      <xdr:spPr>
        <a:xfrm>
          <a:off x="3989869" y="147103"/>
          <a:ext cx="1691301" cy="363096"/>
        </a:xfrm>
        <a:prstGeom prst="snip2SameRect">
          <a:avLst>
            <a:gd name="adj1" fmla="val 39185"/>
            <a:gd name="adj2" fmla="val 0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rial Black" panose="020B0A04020102020204" pitchFamily="34" charset="0"/>
            </a:rPr>
            <a:t>Lançamentos</a:t>
          </a:r>
        </a:p>
      </xdr:txBody>
    </xdr:sp>
    <xdr:clientData/>
  </xdr:twoCellAnchor>
  <xdr:oneCellAnchor>
    <xdr:from>
      <xdr:col>6</xdr:col>
      <xdr:colOff>1848612</xdr:colOff>
      <xdr:row>0</xdr:row>
      <xdr:rowOff>0</xdr:rowOff>
    </xdr:from>
    <xdr:ext cx="2199513" cy="564706"/>
    <xdr:sp macro="" textlink="">
      <xdr:nvSpPr>
        <xdr:cNvPr id="8" name="CaixaDeTexto 7"/>
        <xdr:cNvSpPr txBox="1"/>
      </xdr:nvSpPr>
      <xdr:spPr>
        <a:xfrm>
          <a:off x="10268712" y="0"/>
          <a:ext cx="2199513" cy="56470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1400">
              <a:solidFill>
                <a:srgbClr val="00B050"/>
              </a:solidFill>
              <a:latin typeface="Arial Black" panose="020B0A04020102020204" pitchFamily="34" charset="0"/>
            </a:rPr>
            <a:t>Douglas Barros Nery</a:t>
          </a:r>
          <a:r>
            <a:rPr lang="pt-BR" sz="1400"/>
            <a:t/>
          </a:r>
          <a:br>
            <a:rPr lang="pt-BR" sz="1400"/>
          </a:br>
          <a:r>
            <a:rPr lang="pt-BR" sz="1400" b="1"/>
            <a:t>Controle de Estoque</a:t>
          </a:r>
        </a:p>
      </xdr:txBody>
    </xdr:sp>
    <xdr:clientData/>
  </xdr:oneCellAnchor>
</xdr:wsDr>
</file>

<file path=xl/tables/table1.xml><?xml version="1.0" encoding="utf-8"?>
<table xmlns="http://schemas.openxmlformats.org/spreadsheetml/2006/main" id="4" name="TblCadastro" displayName="TblCadastro" ref="A3:F12" totalsRowCount="1" headerRowDxfId="27" dataDxfId="26" totalsRowDxfId="25">
  <autoFilter ref="A3:F11"/>
  <tableColumns count="6">
    <tableColumn id="1" name="PRODUTO" totalsRowLabel="Total" dataDxfId="24" totalsRowDxfId="23"/>
    <tableColumn id="2" name="MEDIDA" dataDxfId="22" totalsRowDxfId="21"/>
    <tableColumn id="3" name="ESTOQUE MÍNIMO" dataDxfId="20" totalsRowDxfId="19"/>
    <tableColumn id="4" name="ESTOQUE MÁXIMO" dataDxfId="18" totalsRowDxfId="17"/>
    <tableColumn id="5" name="SALDO" totalsRowFunction="sum" dataDxfId="16" totalsRowDxfId="15">
      <calculatedColumnFormula>SUMIF(TblLancamentos[PRODUTO],TblCadastro[[#This Row],[PRODUTO]],TblLancamentos[ENTRADA])-SUMIF(TblLancamentos[PRODUTO],TblCadastro[[#This Row],[PRODUTO]],TblLancamentos[SAÍDA])</calculatedColumnFormula>
    </tableColumn>
    <tableColumn id="6" name="AVISOS" dataDxfId="14" totalsRowDxfId="13">
      <calculatedColumnFormula>IF(TblCadastro[[#This Row],[SALDO]]&lt;TblCadastro[[#This Row],[ESTOQUE MÍNIMO]],"Solicitar nova compra!",IF(TblCadastro[[#This Row],[SALDO]]&gt;TblCadastro[[#This Row],[ESTOQUE MÁXIMO]],"Priorizar venda!",""))</calculatedColumnFormula>
    </tableColumn>
  </tableColumns>
  <tableStyleInfo name="EstiloTabelaPersonalizado" showFirstColumn="0" showLastColumn="0" showRowStripes="1" showColumnStripes="0"/>
</table>
</file>

<file path=xl/tables/table2.xml><?xml version="1.0" encoding="utf-8"?>
<table xmlns="http://schemas.openxmlformats.org/spreadsheetml/2006/main" id="5" name="TblLancamentos" displayName="TblLancamentos" ref="A3:E108" totalsRowCount="1" headerRowDxfId="10" totalsRowDxfId="9">
  <autoFilter ref="A3:E107"/>
  <tableColumns count="5">
    <tableColumn id="1" name="PRODUTO" totalsRowLabel="Total" totalsRowDxfId="8"/>
    <tableColumn id="2" name="DATA" dataDxfId="7" totalsRowDxfId="6"/>
    <tableColumn id="3" name="ENTRADA" totalsRowFunction="sum" dataDxfId="5" totalsRowDxfId="4"/>
    <tableColumn id="4" name="SAÍDA" totalsRowFunction="sum" dataDxfId="3" totalsRowDxfId="2"/>
    <tableColumn id="5" name="SALDO" totalsRowFunction="count" dataDxfId="1" totalsRowDxfId="0">
      <calculatedColumnFormula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calculatedColumnFormula>
    </tableColumn>
  </tableColumns>
  <tableStyleInfo name="EstiloTabelaPersonalizado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showGridLines="0" zoomScaleNormal="100" workbookViewId="0">
      <selection activeCell="A2" sqref="A2"/>
    </sheetView>
  </sheetViews>
  <sheetFormatPr defaultColWidth="0" defaultRowHeight="15" x14ac:dyDescent="0.25"/>
  <cols>
    <col min="1" max="1" width="40.7109375" customWidth="1"/>
    <col min="2" max="5" width="15.7109375" customWidth="1"/>
    <col min="6" max="6" width="22.7109375" customWidth="1"/>
    <col min="7" max="7" width="60.7109375" customWidth="1"/>
    <col min="8" max="16384" width="9.140625" hidden="1"/>
  </cols>
  <sheetData>
    <row r="1" s="1" customFormat="1" ht="39.950000000000003" customHeight="1" x14ac:dyDescent="0.25"/>
  </sheetData>
  <sheetProtection sheet="1" objects="1" scenarios="1" selectLockedCells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showGridLines="0" tabSelected="1" zoomScaleNormal="100" workbookViewId="0">
      <selection activeCell="A2" sqref="A2"/>
    </sheetView>
  </sheetViews>
  <sheetFormatPr defaultColWidth="0" defaultRowHeight="15" x14ac:dyDescent="0.25"/>
  <cols>
    <col min="1" max="1" width="40.7109375" style="13" customWidth="1"/>
    <col min="2" max="5" width="15.7109375" style="13" customWidth="1"/>
    <col min="6" max="6" width="22.7109375" style="13" customWidth="1"/>
    <col min="7" max="7" width="60.7109375" style="13" customWidth="1"/>
    <col min="8" max="16384" width="9.140625" style="13" hidden="1"/>
  </cols>
  <sheetData>
    <row r="1" spans="1:7" s="10" customFormat="1" ht="39.950000000000003" customHeight="1" x14ac:dyDescent="0.25"/>
    <row r="3" spans="1:7" ht="30" x14ac:dyDescent="0.25">
      <c r="A3" s="11" t="s">
        <v>0</v>
      </c>
      <c r="B3" s="11" t="s">
        <v>1</v>
      </c>
      <c r="C3" s="12" t="s">
        <v>11</v>
      </c>
      <c r="D3" s="12" t="s">
        <v>12</v>
      </c>
      <c r="E3" s="11" t="s">
        <v>2</v>
      </c>
      <c r="F3" s="11" t="s">
        <v>3</v>
      </c>
    </row>
    <row r="4" spans="1:7" x14ac:dyDescent="0.25">
      <c r="A4" s="13" t="s">
        <v>4</v>
      </c>
      <c r="B4" s="13" t="s">
        <v>5</v>
      </c>
      <c r="C4" s="13">
        <v>15</v>
      </c>
      <c r="D4" s="13">
        <v>150</v>
      </c>
      <c r="E4" s="10">
        <f>SUMIF(TblLancamentos[PRODUTO],TblCadastro[[#This Row],[PRODUTO]],TblLancamentos[ENTRADA])-SUMIF(TblLancamentos[PRODUTO],TblCadastro[[#This Row],[PRODUTO]],TblLancamentos[SAÍDA])</f>
        <v>22</v>
      </c>
      <c r="F4" s="10" t="str">
        <f>IF(TblCadastro[[#This Row],[SALDO]]&lt;TblCadastro[[#This Row],[ESTOQUE MÍNIMO]],"Solicitar nova compra!",IF(TblCadastro[[#This Row],[SALDO]]&gt;TblCadastro[[#This Row],[ESTOQUE MÁXIMO]],"Priorizar venda!",""))</f>
        <v/>
      </c>
    </row>
    <row r="5" spans="1:7" x14ac:dyDescent="0.25">
      <c r="A5" s="13" t="s">
        <v>6</v>
      </c>
      <c r="B5" s="13" t="s">
        <v>5</v>
      </c>
      <c r="C5" s="13">
        <v>15</v>
      </c>
      <c r="D5" s="13">
        <v>150</v>
      </c>
      <c r="E5" s="10">
        <f>SUMIF(TblLancamentos[PRODUTO],TblCadastro[[#This Row],[PRODUTO]],TblLancamentos[ENTRADA])-SUMIF(TblLancamentos[PRODUTO],TblCadastro[[#This Row],[PRODUTO]],TblLancamentos[SAÍDA])</f>
        <v>11</v>
      </c>
      <c r="F5" s="10" t="str">
        <f>IF(TblCadastro[[#This Row],[SALDO]]&lt;TblCadastro[[#This Row],[ESTOQUE MÍNIMO]],"Solicitar nova compra!",IF(TblCadastro[[#This Row],[SALDO]]&gt;TblCadastro[[#This Row],[ESTOQUE MÁXIMO]],"Priorizar venda!",""))</f>
        <v>Solicitar nova compra!</v>
      </c>
    </row>
    <row r="6" spans="1:7" x14ac:dyDescent="0.25">
      <c r="A6" s="13" t="s">
        <v>13</v>
      </c>
      <c r="B6" s="13" t="s">
        <v>5</v>
      </c>
      <c r="C6" s="13">
        <v>30</v>
      </c>
      <c r="D6" s="13">
        <v>150</v>
      </c>
      <c r="E6" s="14">
        <f>SUMIF(TblLancamentos[PRODUTO],TblCadastro[[#This Row],[PRODUTO]],TblLancamentos[ENTRADA])-SUMIF(TblLancamentos[PRODUTO],TblCadastro[[#This Row],[PRODUTO]],TblLancamentos[SAÍDA])</f>
        <v>22</v>
      </c>
      <c r="F6" s="14" t="str">
        <f>IF(TblCadastro[[#This Row],[SALDO]]&lt;TblCadastro[[#This Row],[ESTOQUE MÍNIMO]],"Solicitar nova compra!",IF(TblCadastro[[#This Row],[SALDO]]&gt;TblCadastro[[#This Row],[ESTOQUE MÁXIMO]],"Priorizar venda!",""))</f>
        <v>Solicitar nova compra!</v>
      </c>
    </row>
    <row r="7" spans="1:7" x14ac:dyDescent="0.25">
      <c r="A7" s="13" t="s">
        <v>14</v>
      </c>
      <c r="B7" s="13" t="s">
        <v>5</v>
      </c>
      <c r="C7" s="13">
        <v>10</v>
      </c>
      <c r="D7" s="13">
        <v>50</v>
      </c>
      <c r="E7" s="14">
        <f>SUMIF(TblLancamentos[PRODUTO],TblCadastro[[#This Row],[PRODUTO]],TblLancamentos[ENTRADA])-SUMIF(TblLancamentos[PRODUTO],TblCadastro[[#This Row],[PRODUTO]],TblLancamentos[SAÍDA])</f>
        <v>35</v>
      </c>
      <c r="F7" s="14" t="str">
        <f>IF(TblCadastro[[#This Row],[SALDO]]&lt;TblCadastro[[#This Row],[ESTOQUE MÍNIMO]],"Solicitar nova compra!",IF(TblCadastro[[#This Row],[SALDO]]&gt;TblCadastro[[#This Row],[ESTOQUE MÁXIMO]],"Priorizar venda!",""))</f>
        <v/>
      </c>
    </row>
    <row r="8" spans="1:7" x14ac:dyDescent="0.25">
      <c r="A8" s="13" t="s">
        <v>15</v>
      </c>
      <c r="B8" s="13" t="s">
        <v>16</v>
      </c>
      <c r="C8" s="13">
        <v>20</v>
      </c>
      <c r="D8" s="13">
        <v>250</v>
      </c>
      <c r="E8" s="14">
        <f>SUMIF(TblLancamentos[PRODUTO],TblCadastro[[#This Row],[PRODUTO]],TblLancamentos[ENTRADA])-SUMIF(TblLancamentos[PRODUTO],TblCadastro[[#This Row],[PRODUTO]],TblLancamentos[SAÍDA])</f>
        <v>56</v>
      </c>
      <c r="F8" s="14" t="str">
        <f>IF(TblCadastro[[#This Row],[SALDO]]&lt;TblCadastro[[#This Row],[ESTOQUE MÍNIMO]],"Solicitar nova compra!",IF(TblCadastro[[#This Row],[SALDO]]&gt;TblCadastro[[#This Row],[ESTOQUE MÁXIMO]],"Priorizar venda!",""))</f>
        <v/>
      </c>
    </row>
    <row r="9" spans="1:7" x14ac:dyDescent="0.25">
      <c r="A9" s="13" t="s">
        <v>17</v>
      </c>
      <c r="B9" s="13" t="s">
        <v>5</v>
      </c>
      <c r="C9" s="13">
        <v>5</v>
      </c>
      <c r="D9" s="13">
        <v>25</v>
      </c>
      <c r="E9" s="14">
        <f>SUMIF(TblLancamentos[PRODUTO],TblCadastro[[#This Row],[PRODUTO]],TblLancamentos[ENTRADA])-SUMIF(TblLancamentos[PRODUTO],TblCadastro[[#This Row],[PRODUTO]],TblLancamentos[SAÍDA])</f>
        <v>64</v>
      </c>
      <c r="F9" s="14" t="str">
        <f>IF(TblCadastro[[#This Row],[SALDO]]&lt;TblCadastro[[#This Row],[ESTOQUE MÍNIMO]],"Solicitar nova compra!",IF(TblCadastro[[#This Row],[SALDO]]&gt;TblCadastro[[#This Row],[ESTOQUE MÁXIMO]],"Priorizar venda!",""))</f>
        <v>Priorizar venda!</v>
      </c>
    </row>
    <row r="10" spans="1:7" x14ac:dyDescent="0.25">
      <c r="A10" s="13" t="s">
        <v>18</v>
      </c>
      <c r="B10" s="13" t="s">
        <v>5</v>
      </c>
      <c r="C10" s="13">
        <v>5</v>
      </c>
      <c r="D10" s="13">
        <v>25</v>
      </c>
      <c r="E10" s="14">
        <f>SUMIF(TblLancamentos[PRODUTO],TblCadastro[[#This Row],[PRODUTO]],TblLancamentos[ENTRADA])-SUMIF(TblLancamentos[PRODUTO],TblCadastro[[#This Row],[PRODUTO]],TblLancamentos[SAÍDA])</f>
        <v>23</v>
      </c>
      <c r="F10" s="14" t="str">
        <f>IF(TblCadastro[[#This Row],[SALDO]]&lt;TblCadastro[[#This Row],[ESTOQUE MÍNIMO]],"Solicitar nova compra!",IF(TblCadastro[[#This Row],[SALDO]]&gt;TblCadastro[[#This Row],[ESTOQUE MÁXIMO]],"Priorizar venda!",""))</f>
        <v/>
      </c>
    </row>
    <row r="11" spans="1:7" x14ac:dyDescent="0.25">
      <c r="A11" s="13" t="s">
        <v>19</v>
      </c>
      <c r="B11" s="13" t="s">
        <v>5</v>
      </c>
      <c r="C11" s="13">
        <v>5</v>
      </c>
      <c r="D11" s="13">
        <v>30</v>
      </c>
      <c r="E11" s="14">
        <f>SUMIF(TblLancamentos[PRODUTO],TblCadastro[[#This Row],[PRODUTO]],TblLancamentos[ENTRADA])-SUMIF(TblLancamentos[PRODUTO],TblCadastro[[#This Row],[PRODUTO]],TblLancamentos[SAÍDA])</f>
        <v>30</v>
      </c>
      <c r="F11" s="14" t="str">
        <f>IF(TblCadastro[[#This Row],[SALDO]]&lt;TblCadastro[[#This Row],[ESTOQUE MÍNIMO]],"Solicitar nova compra!",IF(TblCadastro[[#This Row],[SALDO]]&gt;TblCadastro[[#This Row],[ESTOQUE MÁXIMO]],"Priorizar venda!",""))</f>
        <v/>
      </c>
    </row>
    <row r="12" spans="1:7" ht="15.75" x14ac:dyDescent="0.25">
      <c r="A12" s="9" t="s">
        <v>7</v>
      </c>
      <c r="B12" s="9"/>
      <c r="C12" s="9"/>
      <c r="D12" s="9"/>
      <c r="E12" s="9">
        <f>SUBTOTAL(109,TblCadastro[SALDO])</f>
        <v>263</v>
      </c>
      <c r="F12" s="9"/>
    </row>
    <row r="16" spans="1:7" x14ac:dyDescent="0.25">
      <c r="G16" s="15"/>
    </row>
  </sheetData>
  <sheetProtection insertColumns="0" insertRows="0" deleteColumns="0" deleteRows="0" sort="0" autoFilter="0"/>
  <conditionalFormatting sqref="A4:D11">
    <cfRule type="expression" dxfId="30" priority="7">
      <formula>ODD(ROW())=ROW()</formula>
    </cfRule>
  </conditionalFormatting>
  <conditionalFormatting sqref="F4:F11">
    <cfRule type="cellIs" dxfId="29" priority="1" operator="equal">
      <formula>"Priorizar venda!"</formula>
    </cfRule>
    <cfRule type="cellIs" dxfId="28" priority="5" operator="equal">
      <formula>"Solicitar nova compra!"</formula>
    </cfRule>
  </conditionalFormatting>
  <dataValidations count="1">
    <dataValidation type="whole" allowBlank="1" showInputMessage="1" showErrorMessage="1" sqref="C4:D11">
      <formula1>0</formula1>
      <formula2>1000000000</formula2>
    </dataValidation>
  </dataValidation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8"/>
  <sheetViews>
    <sheetView showGridLines="0" zoomScaleNormal="100" workbookViewId="0">
      <selection activeCell="G1" sqref="G1"/>
    </sheetView>
  </sheetViews>
  <sheetFormatPr defaultColWidth="0" defaultRowHeight="15" x14ac:dyDescent="0.25"/>
  <cols>
    <col min="1" max="1" width="40.7109375" customWidth="1"/>
    <col min="2" max="5" width="15.7109375" customWidth="1"/>
    <col min="6" max="6" width="22.7109375" customWidth="1"/>
    <col min="7" max="7" width="60.7109375" customWidth="1"/>
    <col min="8" max="16384" width="9.140625" hidden="1"/>
  </cols>
  <sheetData>
    <row r="1" spans="1:5" s="1" customFormat="1" ht="39.950000000000003" customHeight="1" x14ac:dyDescent="0.25"/>
    <row r="3" spans="1:5" x14ac:dyDescent="0.25">
      <c r="A3" s="2" t="s">
        <v>0</v>
      </c>
      <c r="B3" s="2" t="s">
        <v>8</v>
      </c>
      <c r="C3" s="7" t="s">
        <v>9</v>
      </c>
      <c r="D3" s="6" t="s">
        <v>10</v>
      </c>
      <c r="E3" s="2" t="s">
        <v>2</v>
      </c>
    </row>
    <row r="4" spans="1:5" x14ac:dyDescent="0.25">
      <c r="A4" t="s">
        <v>19</v>
      </c>
      <c r="B4" s="3">
        <v>43106</v>
      </c>
      <c r="C4" s="4">
        <v>30</v>
      </c>
      <c r="D4" s="4">
        <v>10</v>
      </c>
      <c r="E4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20</v>
      </c>
    </row>
    <row r="5" spans="1:5" x14ac:dyDescent="0.25">
      <c r="A5" t="s">
        <v>4</v>
      </c>
      <c r="B5" s="3">
        <v>43104</v>
      </c>
      <c r="C5" s="4">
        <v>50</v>
      </c>
      <c r="D5" s="4">
        <v>8</v>
      </c>
      <c r="E5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42</v>
      </c>
    </row>
    <row r="6" spans="1:5" x14ac:dyDescent="0.25">
      <c r="A6" t="s">
        <v>6</v>
      </c>
      <c r="B6" s="3">
        <v>43105</v>
      </c>
      <c r="C6" s="4">
        <v>78</v>
      </c>
      <c r="D6" s="4">
        <v>8</v>
      </c>
      <c r="E6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70</v>
      </c>
    </row>
    <row r="7" spans="1:5" x14ac:dyDescent="0.25">
      <c r="A7" t="s">
        <v>18</v>
      </c>
      <c r="B7" s="3">
        <v>43102</v>
      </c>
      <c r="C7" s="4">
        <v>10</v>
      </c>
      <c r="D7" s="4">
        <v>0</v>
      </c>
      <c r="E7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10</v>
      </c>
    </row>
    <row r="8" spans="1:5" x14ac:dyDescent="0.25">
      <c r="A8" t="s">
        <v>19</v>
      </c>
      <c r="B8" s="3">
        <v>43116</v>
      </c>
      <c r="C8" s="4">
        <v>0</v>
      </c>
      <c r="D8" s="4">
        <v>6</v>
      </c>
      <c r="E8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14</v>
      </c>
    </row>
    <row r="9" spans="1:5" x14ac:dyDescent="0.25">
      <c r="A9" t="s">
        <v>15</v>
      </c>
      <c r="B9" s="3">
        <v>43129</v>
      </c>
      <c r="C9" s="4">
        <v>17</v>
      </c>
      <c r="D9" s="4">
        <v>6</v>
      </c>
      <c r="E9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11</v>
      </c>
    </row>
    <row r="10" spans="1:5" x14ac:dyDescent="0.25">
      <c r="A10" t="s">
        <v>18</v>
      </c>
      <c r="B10" s="3">
        <v>43136</v>
      </c>
      <c r="C10" s="4">
        <v>0</v>
      </c>
      <c r="D10" s="4">
        <v>5</v>
      </c>
      <c r="E10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-3</v>
      </c>
    </row>
    <row r="11" spans="1:5" x14ac:dyDescent="0.25">
      <c r="A11" t="s">
        <v>18</v>
      </c>
      <c r="B11" s="3">
        <v>43136</v>
      </c>
      <c r="C11" s="4">
        <v>0</v>
      </c>
      <c r="D11" s="4">
        <v>8</v>
      </c>
      <c r="E11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-3</v>
      </c>
    </row>
    <row r="12" spans="1:5" x14ac:dyDescent="0.25">
      <c r="A12" t="s">
        <v>19</v>
      </c>
      <c r="B12" s="3">
        <v>43141</v>
      </c>
      <c r="C12" s="4">
        <v>0</v>
      </c>
      <c r="D12" s="4">
        <v>8</v>
      </c>
      <c r="E12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6</v>
      </c>
    </row>
    <row r="13" spans="1:5" x14ac:dyDescent="0.25">
      <c r="A13" t="s">
        <v>4</v>
      </c>
      <c r="B13" s="3">
        <v>43143</v>
      </c>
      <c r="C13" s="4">
        <v>0</v>
      </c>
      <c r="D13" s="4">
        <v>9</v>
      </c>
      <c r="E13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33</v>
      </c>
    </row>
    <row r="14" spans="1:5" x14ac:dyDescent="0.25">
      <c r="A14" t="s">
        <v>4</v>
      </c>
      <c r="B14" s="3">
        <v>43145</v>
      </c>
      <c r="C14" s="4">
        <v>0</v>
      </c>
      <c r="D14" s="4">
        <v>9</v>
      </c>
      <c r="E14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24</v>
      </c>
    </row>
    <row r="15" spans="1:5" x14ac:dyDescent="0.25">
      <c r="A15" t="s">
        <v>15</v>
      </c>
      <c r="B15" s="3">
        <v>43146</v>
      </c>
      <c r="C15" s="4">
        <v>0</v>
      </c>
      <c r="D15" s="4">
        <v>7</v>
      </c>
      <c r="E15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4</v>
      </c>
    </row>
    <row r="16" spans="1:5" x14ac:dyDescent="0.25">
      <c r="A16" t="s">
        <v>6</v>
      </c>
      <c r="B16" s="3">
        <v>43153</v>
      </c>
      <c r="C16" s="4">
        <v>0</v>
      </c>
      <c r="D16" s="4">
        <v>5</v>
      </c>
      <c r="E16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65</v>
      </c>
    </row>
    <row r="17" spans="1:5" x14ac:dyDescent="0.25">
      <c r="A17" t="s">
        <v>4</v>
      </c>
      <c r="B17" s="3">
        <v>43157</v>
      </c>
      <c r="C17" s="4">
        <v>33</v>
      </c>
      <c r="D17" s="4">
        <v>8</v>
      </c>
      <c r="E17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49</v>
      </c>
    </row>
    <row r="18" spans="1:5" x14ac:dyDescent="0.25">
      <c r="A18" t="s">
        <v>4</v>
      </c>
      <c r="B18" s="3">
        <v>43158</v>
      </c>
      <c r="C18" s="4">
        <v>0</v>
      </c>
      <c r="D18" s="4">
        <v>10</v>
      </c>
      <c r="E18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39</v>
      </c>
    </row>
    <row r="19" spans="1:5" x14ac:dyDescent="0.25">
      <c r="A19" t="s">
        <v>4</v>
      </c>
      <c r="B19" s="3">
        <v>43162</v>
      </c>
      <c r="C19" s="4">
        <v>25</v>
      </c>
      <c r="D19" s="4">
        <v>8</v>
      </c>
      <c r="E19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56</v>
      </c>
    </row>
    <row r="20" spans="1:5" x14ac:dyDescent="0.25">
      <c r="A20" t="s">
        <v>4</v>
      </c>
      <c r="B20" s="3">
        <v>43166</v>
      </c>
      <c r="C20" s="4">
        <v>0</v>
      </c>
      <c r="D20" s="4">
        <v>9</v>
      </c>
      <c r="E20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47</v>
      </c>
    </row>
    <row r="21" spans="1:5" x14ac:dyDescent="0.25">
      <c r="A21" t="s">
        <v>17</v>
      </c>
      <c r="B21" s="3">
        <v>43167</v>
      </c>
      <c r="C21" s="4">
        <v>0</v>
      </c>
      <c r="D21" s="4">
        <v>9</v>
      </c>
      <c r="E21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-9</v>
      </c>
    </row>
    <row r="22" spans="1:5" x14ac:dyDescent="0.25">
      <c r="A22" t="s">
        <v>6</v>
      </c>
      <c r="B22" s="3">
        <v>43169</v>
      </c>
      <c r="C22" s="4">
        <v>0</v>
      </c>
      <c r="D22" s="4">
        <v>6</v>
      </c>
      <c r="E22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59</v>
      </c>
    </row>
    <row r="23" spans="1:5" x14ac:dyDescent="0.25">
      <c r="A23" t="s">
        <v>4</v>
      </c>
      <c r="B23" s="3">
        <v>43170</v>
      </c>
      <c r="C23" s="4">
        <v>20</v>
      </c>
      <c r="D23" s="4">
        <v>5</v>
      </c>
      <c r="E23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62</v>
      </c>
    </row>
    <row r="24" spans="1:5" x14ac:dyDescent="0.25">
      <c r="A24" t="s">
        <v>6</v>
      </c>
      <c r="B24" s="3">
        <v>43173</v>
      </c>
      <c r="C24" s="4">
        <v>0</v>
      </c>
      <c r="D24" s="4">
        <v>7</v>
      </c>
      <c r="E24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52</v>
      </c>
    </row>
    <row r="25" spans="1:5" x14ac:dyDescent="0.25">
      <c r="A25" t="s">
        <v>6</v>
      </c>
      <c r="B25" s="3">
        <v>43174</v>
      </c>
      <c r="C25" s="4">
        <v>29</v>
      </c>
      <c r="D25" s="4">
        <v>6</v>
      </c>
      <c r="E25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75</v>
      </c>
    </row>
    <row r="26" spans="1:5" x14ac:dyDescent="0.25">
      <c r="A26" t="s">
        <v>4</v>
      </c>
      <c r="B26" s="3">
        <v>43175</v>
      </c>
      <c r="C26" s="4">
        <v>0</v>
      </c>
      <c r="D26" s="4">
        <v>6</v>
      </c>
      <c r="E26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56</v>
      </c>
    </row>
    <row r="27" spans="1:5" x14ac:dyDescent="0.25">
      <c r="A27" t="s">
        <v>19</v>
      </c>
      <c r="B27" s="3">
        <v>43177</v>
      </c>
      <c r="C27" s="4">
        <v>0</v>
      </c>
      <c r="D27" s="4">
        <v>5</v>
      </c>
      <c r="E27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1</v>
      </c>
    </row>
    <row r="28" spans="1:5" x14ac:dyDescent="0.25">
      <c r="A28" t="s">
        <v>17</v>
      </c>
      <c r="B28" s="3">
        <v>43180</v>
      </c>
      <c r="C28" s="4">
        <v>0</v>
      </c>
      <c r="D28" s="4">
        <v>10</v>
      </c>
      <c r="E28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-19</v>
      </c>
    </row>
    <row r="29" spans="1:5" x14ac:dyDescent="0.25">
      <c r="A29" t="s">
        <v>6</v>
      </c>
      <c r="B29" s="3">
        <v>43181</v>
      </c>
      <c r="C29" s="4">
        <v>6</v>
      </c>
      <c r="D29" s="4">
        <v>5</v>
      </c>
      <c r="E29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76</v>
      </c>
    </row>
    <row r="30" spans="1:5" x14ac:dyDescent="0.25">
      <c r="A30" t="s">
        <v>15</v>
      </c>
      <c r="B30" s="3">
        <v>43182</v>
      </c>
      <c r="C30" s="4">
        <v>0</v>
      </c>
      <c r="D30" s="4">
        <v>7</v>
      </c>
      <c r="E30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-3</v>
      </c>
    </row>
    <row r="31" spans="1:5" x14ac:dyDescent="0.25">
      <c r="A31" t="s">
        <v>4</v>
      </c>
      <c r="B31" s="3">
        <v>43186</v>
      </c>
      <c r="C31" s="4">
        <v>0</v>
      </c>
      <c r="D31" s="4">
        <v>10</v>
      </c>
      <c r="E31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46</v>
      </c>
    </row>
    <row r="32" spans="1:5" x14ac:dyDescent="0.25">
      <c r="A32" t="s">
        <v>6</v>
      </c>
      <c r="B32" s="3">
        <v>43186</v>
      </c>
      <c r="C32" s="4">
        <v>0</v>
      </c>
      <c r="D32" s="4">
        <v>8</v>
      </c>
      <c r="E32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68</v>
      </c>
    </row>
    <row r="33" spans="1:5" x14ac:dyDescent="0.25">
      <c r="A33" t="s">
        <v>18</v>
      </c>
      <c r="B33" s="3">
        <v>43198</v>
      </c>
      <c r="C33" s="4">
        <v>3</v>
      </c>
      <c r="D33" s="4">
        <v>8</v>
      </c>
      <c r="E33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-8</v>
      </c>
    </row>
    <row r="34" spans="1:5" x14ac:dyDescent="0.25">
      <c r="A34" t="s">
        <v>13</v>
      </c>
      <c r="B34" s="3">
        <v>43203</v>
      </c>
      <c r="C34" s="4">
        <v>0</v>
      </c>
      <c r="D34" s="4">
        <v>6</v>
      </c>
      <c r="E34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-6</v>
      </c>
    </row>
    <row r="35" spans="1:5" x14ac:dyDescent="0.25">
      <c r="A35" t="s">
        <v>18</v>
      </c>
      <c r="B35" s="3">
        <v>43204</v>
      </c>
      <c r="C35" s="4">
        <v>22</v>
      </c>
      <c r="D35" s="4">
        <v>9</v>
      </c>
      <c r="E35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5</v>
      </c>
    </row>
    <row r="36" spans="1:5" x14ac:dyDescent="0.25">
      <c r="A36" t="s">
        <v>19</v>
      </c>
      <c r="B36" s="3">
        <v>43212</v>
      </c>
      <c r="C36" s="4">
        <v>22</v>
      </c>
      <c r="D36" s="4">
        <v>7</v>
      </c>
      <c r="E36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16</v>
      </c>
    </row>
    <row r="37" spans="1:5" x14ac:dyDescent="0.25">
      <c r="A37" t="s">
        <v>4</v>
      </c>
      <c r="B37" s="3">
        <v>43217</v>
      </c>
      <c r="C37" s="4">
        <v>0</v>
      </c>
      <c r="D37" s="4">
        <v>5</v>
      </c>
      <c r="E37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41</v>
      </c>
    </row>
    <row r="38" spans="1:5" x14ac:dyDescent="0.25">
      <c r="A38" t="s">
        <v>4</v>
      </c>
      <c r="B38" s="3">
        <v>43221</v>
      </c>
      <c r="C38" s="4">
        <v>0</v>
      </c>
      <c r="D38" s="4">
        <v>7</v>
      </c>
      <c r="E38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34</v>
      </c>
    </row>
    <row r="39" spans="1:5" x14ac:dyDescent="0.25">
      <c r="A39" t="s">
        <v>15</v>
      </c>
      <c r="B39" s="3">
        <v>43222</v>
      </c>
      <c r="C39" s="4">
        <v>31</v>
      </c>
      <c r="D39" s="4">
        <v>8</v>
      </c>
      <c r="E39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20</v>
      </c>
    </row>
    <row r="40" spans="1:5" x14ac:dyDescent="0.25">
      <c r="A40" t="s">
        <v>6</v>
      </c>
      <c r="B40" s="3">
        <v>43230</v>
      </c>
      <c r="C40" s="4">
        <v>0</v>
      </c>
      <c r="D40" s="4">
        <v>9</v>
      </c>
      <c r="E40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59</v>
      </c>
    </row>
    <row r="41" spans="1:5" x14ac:dyDescent="0.25">
      <c r="A41" t="s">
        <v>17</v>
      </c>
      <c r="B41" s="3">
        <v>43231</v>
      </c>
      <c r="C41" s="4">
        <v>0</v>
      </c>
      <c r="D41" s="4">
        <v>9</v>
      </c>
      <c r="E41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-36</v>
      </c>
    </row>
    <row r="42" spans="1:5" x14ac:dyDescent="0.25">
      <c r="A42" t="s">
        <v>17</v>
      </c>
      <c r="B42" s="3">
        <v>43231</v>
      </c>
      <c r="C42" s="4">
        <v>0</v>
      </c>
      <c r="D42" s="4">
        <v>8</v>
      </c>
      <c r="E42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-36</v>
      </c>
    </row>
    <row r="43" spans="1:5" x14ac:dyDescent="0.25">
      <c r="A43" t="s">
        <v>17</v>
      </c>
      <c r="B43" s="3">
        <v>43235</v>
      </c>
      <c r="C43" s="4">
        <v>0</v>
      </c>
      <c r="D43" s="4">
        <v>5</v>
      </c>
      <c r="E43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-41</v>
      </c>
    </row>
    <row r="44" spans="1:5" x14ac:dyDescent="0.25">
      <c r="A44" t="s">
        <v>6</v>
      </c>
      <c r="B44" s="3">
        <v>43235</v>
      </c>
      <c r="C44" s="4">
        <v>0</v>
      </c>
      <c r="D44" s="4">
        <v>8</v>
      </c>
      <c r="E44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51</v>
      </c>
    </row>
    <row r="45" spans="1:5" x14ac:dyDescent="0.25">
      <c r="A45" t="s">
        <v>15</v>
      </c>
      <c r="B45" s="3">
        <v>43236</v>
      </c>
      <c r="C45" s="4">
        <v>0</v>
      </c>
      <c r="D45" s="4">
        <v>9</v>
      </c>
      <c r="E45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11</v>
      </c>
    </row>
    <row r="46" spans="1:5" x14ac:dyDescent="0.25">
      <c r="A46" t="s">
        <v>6</v>
      </c>
      <c r="B46" s="3">
        <v>43237</v>
      </c>
      <c r="C46" s="4">
        <v>0</v>
      </c>
      <c r="D46" s="4">
        <v>7</v>
      </c>
      <c r="E46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44</v>
      </c>
    </row>
    <row r="47" spans="1:5" x14ac:dyDescent="0.25">
      <c r="A47" t="s">
        <v>4</v>
      </c>
      <c r="B47" s="3">
        <v>43237</v>
      </c>
      <c r="C47" s="4">
        <v>0</v>
      </c>
      <c r="D47" s="4">
        <v>9</v>
      </c>
      <c r="E47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25</v>
      </c>
    </row>
    <row r="48" spans="1:5" x14ac:dyDescent="0.25">
      <c r="A48" t="s">
        <v>19</v>
      </c>
      <c r="B48" s="3">
        <v>43239</v>
      </c>
      <c r="C48" s="4">
        <v>0</v>
      </c>
      <c r="D48" s="4">
        <v>7</v>
      </c>
      <c r="E48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9</v>
      </c>
    </row>
    <row r="49" spans="1:5" x14ac:dyDescent="0.25">
      <c r="A49" t="s">
        <v>13</v>
      </c>
      <c r="B49" s="3">
        <v>43240</v>
      </c>
      <c r="C49" s="4">
        <v>24</v>
      </c>
      <c r="D49" s="4">
        <v>5</v>
      </c>
      <c r="E49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13</v>
      </c>
    </row>
    <row r="50" spans="1:5" x14ac:dyDescent="0.25">
      <c r="A50" t="s">
        <v>15</v>
      </c>
      <c r="B50" s="3">
        <v>43242</v>
      </c>
      <c r="C50" s="4">
        <v>10</v>
      </c>
      <c r="D50" s="4">
        <v>10</v>
      </c>
      <c r="E50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11</v>
      </c>
    </row>
    <row r="51" spans="1:5" x14ac:dyDescent="0.25">
      <c r="A51" t="s">
        <v>15</v>
      </c>
      <c r="B51" s="3">
        <v>43244</v>
      </c>
      <c r="C51" s="4">
        <v>2</v>
      </c>
      <c r="D51" s="4">
        <v>6</v>
      </c>
      <c r="E51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7</v>
      </c>
    </row>
    <row r="52" spans="1:5" x14ac:dyDescent="0.25">
      <c r="A52" t="s">
        <v>6</v>
      </c>
      <c r="B52" s="3">
        <v>43248</v>
      </c>
      <c r="C52" s="4">
        <v>27</v>
      </c>
      <c r="D52" s="4">
        <v>10</v>
      </c>
      <c r="E52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61</v>
      </c>
    </row>
    <row r="53" spans="1:5" x14ac:dyDescent="0.25">
      <c r="A53" t="s">
        <v>13</v>
      </c>
      <c r="B53" s="3">
        <v>43253</v>
      </c>
      <c r="C53" s="4">
        <v>9</v>
      </c>
      <c r="D53" s="4">
        <v>5</v>
      </c>
      <c r="E53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17</v>
      </c>
    </row>
    <row r="54" spans="1:5" x14ac:dyDescent="0.25">
      <c r="A54" t="s">
        <v>17</v>
      </c>
      <c r="B54" s="3">
        <v>43265</v>
      </c>
      <c r="C54" s="4">
        <v>17</v>
      </c>
      <c r="D54" s="4">
        <v>5</v>
      </c>
      <c r="E54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-29</v>
      </c>
    </row>
    <row r="55" spans="1:5" x14ac:dyDescent="0.25">
      <c r="A55" t="s">
        <v>15</v>
      </c>
      <c r="B55" s="3">
        <v>43267</v>
      </c>
      <c r="C55" s="4">
        <v>0</v>
      </c>
      <c r="D55" s="4">
        <v>6</v>
      </c>
      <c r="E55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1</v>
      </c>
    </row>
    <row r="56" spans="1:5" x14ac:dyDescent="0.25">
      <c r="A56" t="s">
        <v>18</v>
      </c>
      <c r="B56" s="3">
        <v>43273</v>
      </c>
      <c r="C56" s="4">
        <v>0</v>
      </c>
      <c r="D56" s="4">
        <v>10</v>
      </c>
      <c r="E56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-5</v>
      </c>
    </row>
    <row r="57" spans="1:5" x14ac:dyDescent="0.25">
      <c r="A57" t="s">
        <v>6</v>
      </c>
      <c r="B57" s="3">
        <v>43273</v>
      </c>
      <c r="C57" s="4">
        <v>0</v>
      </c>
      <c r="D57" s="4">
        <v>9</v>
      </c>
      <c r="E57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52</v>
      </c>
    </row>
    <row r="58" spans="1:5" x14ac:dyDescent="0.25">
      <c r="A58" t="s">
        <v>6</v>
      </c>
      <c r="B58" s="3">
        <v>43278</v>
      </c>
      <c r="C58" s="4">
        <v>0</v>
      </c>
      <c r="D58" s="4">
        <v>5</v>
      </c>
      <c r="E58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47</v>
      </c>
    </row>
    <row r="59" spans="1:5" x14ac:dyDescent="0.25">
      <c r="A59" t="s">
        <v>15</v>
      </c>
      <c r="B59" s="3">
        <v>43290</v>
      </c>
      <c r="C59" s="4">
        <v>0</v>
      </c>
      <c r="D59" s="4">
        <v>9</v>
      </c>
      <c r="E59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-8</v>
      </c>
    </row>
    <row r="60" spans="1:5" x14ac:dyDescent="0.25">
      <c r="A60" t="s">
        <v>19</v>
      </c>
      <c r="B60" s="3">
        <v>43299</v>
      </c>
      <c r="C60" s="4">
        <v>0</v>
      </c>
      <c r="D60" s="4">
        <v>6</v>
      </c>
      <c r="E60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3</v>
      </c>
    </row>
    <row r="61" spans="1:5" x14ac:dyDescent="0.25">
      <c r="A61" t="s">
        <v>13</v>
      </c>
      <c r="B61" s="3">
        <v>43305</v>
      </c>
      <c r="C61" s="4">
        <v>0</v>
      </c>
      <c r="D61" s="4">
        <v>9</v>
      </c>
      <c r="E61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8</v>
      </c>
    </row>
    <row r="62" spans="1:5" x14ac:dyDescent="0.25">
      <c r="A62" t="s">
        <v>17</v>
      </c>
      <c r="B62" s="3">
        <v>43312</v>
      </c>
      <c r="C62" s="4">
        <v>8</v>
      </c>
      <c r="D62" s="4">
        <v>7</v>
      </c>
      <c r="E62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-28</v>
      </c>
    </row>
    <row r="63" spans="1:5" x14ac:dyDescent="0.25">
      <c r="A63" t="s">
        <v>13</v>
      </c>
      <c r="B63" s="3">
        <v>43317</v>
      </c>
      <c r="C63" s="4">
        <v>24</v>
      </c>
      <c r="D63" s="4">
        <v>8</v>
      </c>
      <c r="E63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24</v>
      </c>
    </row>
    <row r="64" spans="1:5" x14ac:dyDescent="0.25">
      <c r="A64" t="s">
        <v>13</v>
      </c>
      <c r="B64" s="3">
        <v>43318</v>
      </c>
      <c r="C64" s="4">
        <v>0</v>
      </c>
      <c r="D64" s="4">
        <v>5</v>
      </c>
      <c r="E64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19</v>
      </c>
    </row>
    <row r="65" spans="1:5" x14ac:dyDescent="0.25">
      <c r="A65" t="s">
        <v>18</v>
      </c>
      <c r="B65" s="3">
        <v>43319</v>
      </c>
      <c r="C65" s="4">
        <v>25</v>
      </c>
      <c r="D65" s="4">
        <v>10</v>
      </c>
      <c r="E65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10</v>
      </c>
    </row>
    <row r="66" spans="1:5" x14ac:dyDescent="0.25">
      <c r="A66" t="s">
        <v>13</v>
      </c>
      <c r="B66" s="3">
        <v>43328</v>
      </c>
      <c r="C66" s="4">
        <v>0</v>
      </c>
      <c r="D66" s="4">
        <v>10</v>
      </c>
      <c r="E66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9</v>
      </c>
    </row>
    <row r="67" spans="1:5" x14ac:dyDescent="0.25">
      <c r="A67" t="s">
        <v>4</v>
      </c>
      <c r="B67" s="3">
        <v>43328</v>
      </c>
      <c r="C67" s="4">
        <v>0</v>
      </c>
      <c r="D67" s="4">
        <v>8</v>
      </c>
      <c r="E67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17</v>
      </c>
    </row>
    <row r="68" spans="1:5" x14ac:dyDescent="0.25">
      <c r="A68" t="s">
        <v>19</v>
      </c>
      <c r="B68" s="3">
        <v>43329</v>
      </c>
      <c r="C68" s="4">
        <v>3</v>
      </c>
      <c r="D68" s="4">
        <v>7</v>
      </c>
      <c r="E68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-1</v>
      </c>
    </row>
    <row r="69" spans="1:5" x14ac:dyDescent="0.25">
      <c r="A69" t="s">
        <v>17</v>
      </c>
      <c r="B69" s="3">
        <v>43329</v>
      </c>
      <c r="C69" s="4">
        <v>26</v>
      </c>
      <c r="D69" s="4">
        <v>10</v>
      </c>
      <c r="E69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-12</v>
      </c>
    </row>
    <row r="70" spans="1:5" x14ac:dyDescent="0.25">
      <c r="A70" t="s">
        <v>13</v>
      </c>
      <c r="B70" s="3">
        <v>43330</v>
      </c>
      <c r="C70" s="4">
        <v>0</v>
      </c>
      <c r="D70" s="4">
        <v>8</v>
      </c>
      <c r="E70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1</v>
      </c>
    </row>
    <row r="71" spans="1:5" x14ac:dyDescent="0.25">
      <c r="A71" t="s">
        <v>4</v>
      </c>
      <c r="B71" s="3">
        <v>43331</v>
      </c>
      <c r="C71" s="4">
        <v>5</v>
      </c>
      <c r="D71" s="4">
        <v>8</v>
      </c>
      <c r="E71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14</v>
      </c>
    </row>
    <row r="72" spans="1:5" x14ac:dyDescent="0.25">
      <c r="A72" t="s">
        <v>18</v>
      </c>
      <c r="B72" s="3">
        <v>43333</v>
      </c>
      <c r="C72" s="4">
        <v>0</v>
      </c>
      <c r="D72" s="4">
        <v>6</v>
      </c>
      <c r="E72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4</v>
      </c>
    </row>
    <row r="73" spans="1:5" x14ac:dyDescent="0.25">
      <c r="A73" t="s">
        <v>6</v>
      </c>
      <c r="B73" s="3">
        <v>43336</v>
      </c>
      <c r="C73" s="4">
        <v>0</v>
      </c>
      <c r="D73" s="4">
        <v>6</v>
      </c>
      <c r="E73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41</v>
      </c>
    </row>
    <row r="74" spans="1:5" x14ac:dyDescent="0.25">
      <c r="A74" t="s">
        <v>6</v>
      </c>
      <c r="B74" s="3">
        <v>43337</v>
      </c>
      <c r="C74" s="4">
        <v>0</v>
      </c>
      <c r="D74" s="4">
        <v>9</v>
      </c>
      <c r="E74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32</v>
      </c>
    </row>
    <row r="75" spans="1:5" x14ac:dyDescent="0.25">
      <c r="A75" t="s">
        <v>6</v>
      </c>
      <c r="B75" s="3">
        <v>43338</v>
      </c>
      <c r="C75" s="4">
        <v>25</v>
      </c>
      <c r="D75" s="4">
        <v>6</v>
      </c>
      <c r="E75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51</v>
      </c>
    </row>
    <row r="76" spans="1:5" x14ac:dyDescent="0.25">
      <c r="A76" t="s">
        <v>6</v>
      </c>
      <c r="B76" s="3">
        <v>43342</v>
      </c>
      <c r="C76" s="4">
        <v>0</v>
      </c>
      <c r="D76" s="4">
        <v>7</v>
      </c>
      <c r="E76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44</v>
      </c>
    </row>
    <row r="77" spans="1:5" x14ac:dyDescent="0.25">
      <c r="A77" t="s">
        <v>15</v>
      </c>
      <c r="B77" s="3">
        <v>43344</v>
      </c>
      <c r="C77" s="4">
        <v>0</v>
      </c>
      <c r="D77" s="4">
        <v>7</v>
      </c>
      <c r="E77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-15</v>
      </c>
    </row>
    <row r="78" spans="1:5" x14ac:dyDescent="0.25">
      <c r="A78" t="s">
        <v>6</v>
      </c>
      <c r="B78" s="3">
        <v>43353</v>
      </c>
      <c r="C78" s="4">
        <v>0</v>
      </c>
      <c r="D78" s="4">
        <v>8</v>
      </c>
      <c r="E78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36</v>
      </c>
    </row>
    <row r="79" spans="1:5" x14ac:dyDescent="0.25">
      <c r="A79" t="s">
        <v>4</v>
      </c>
      <c r="B79" s="3">
        <v>43359</v>
      </c>
      <c r="C79" s="4">
        <v>29</v>
      </c>
      <c r="D79" s="4">
        <v>5</v>
      </c>
      <c r="E79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38</v>
      </c>
    </row>
    <row r="80" spans="1:5" x14ac:dyDescent="0.25">
      <c r="A80" t="s">
        <v>17</v>
      </c>
      <c r="B80" s="3">
        <v>43367</v>
      </c>
      <c r="C80" s="4">
        <v>32</v>
      </c>
      <c r="D80" s="4">
        <v>6</v>
      </c>
      <c r="E80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14</v>
      </c>
    </row>
    <row r="81" spans="1:5" x14ac:dyDescent="0.25">
      <c r="A81" t="s">
        <v>19</v>
      </c>
      <c r="B81" s="3">
        <v>43368</v>
      </c>
      <c r="C81" s="4">
        <v>0</v>
      </c>
      <c r="D81" s="4">
        <v>6</v>
      </c>
      <c r="E81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-7</v>
      </c>
    </row>
    <row r="82" spans="1:5" x14ac:dyDescent="0.25">
      <c r="A82" t="s">
        <v>6</v>
      </c>
      <c r="B82" s="3">
        <v>43371</v>
      </c>
      <c r="C82" s="4">
        <v>0</v>
      </c>
      <c r="D82" s="4">
        <v>7</v>
      </c>
      <c r="E82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29</v>
      </c>
    </row>
    <row r="83" spans="1:5" x14ac:dyDescent="0.25">
      <c r="A83" t="s">
        <v>17</v>
      </c>
      <c r="B83" s="3">
        <v>43377</v>
      </c>
      <c r="C83" s="4">
        <v>17</v>
      </c>
      <c r="D83" s="4">
        <v>7</v>
      </c>
      <c r="E83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24</v>
      </c>
    </row>
    <row r="84" spans="1:5" x14ac:dyDescent="0.25">
      <c r="A84" t="s">
        <v>19</v>
      </c>
      <c r="B84" s="3">
        <v>43379</v>
      </c>
      <c r="C84" s="4">
        <v>24</v>
      </c>
      <c r="D84" s="4">
        <v>5</v>
      </c>
      <c r="E84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12</v>
      </c>
    </row>
    <row r="85" spans="1:5" x14ac:dyDescent="0.25">
      <c r="A85" t="s">
        <v>4</v>
      </c>
      <c r="B85" s="3">
        <v>43383</v>
      </c>
      <c r="C85" s="4">
        <v>0</v>
      </c>
      <c r="D85" s="4">
        <v>7</v>
      </c>
      <c r="E85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31</v>
      </c>
    </row>
    <row r="86" spans="1:5" x14ac:dyDescent="0.25">
      <c r="A86" t="s">
        <v>6</v>
      </c>
      <c r="B86" s="3">
        <v>43387</v>
      </c>
      <c r="C86" s="4">
        <v>0</v>
      </c>
      <c r="D86" s="4">
        <v>7</v>
      </c>
      <c r="E86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22</v>
      </c>
    </row>
    <row r="87" spans="1:5" x14ac:dyDescent="0.25">
      <c r="A87" t="s">
        <v>15</v>
      </c>
      <c r="B87" s="3">
        <v>43390</v>
      </c>
      <c r="C87" s="4">
        <v>0</v>
      </c>
      <c r="D87" s="4">
        <v>9</v>
      </c>
      <c r="E87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-24</v>
      </c>
    </row>
    <row r="88" spans="1:5" x14ac:dyDescent="0.25">
      <c r="A88" t="s">
        <v>6</v>
      </c>
      <c r="B88" s="3">
        <v>43391</v>
      </c>
      <c r="C88" s="4">
        <v>0</v>
      </c>
      <c r="D88" s="4">
        <v>6</v>
      </c>
      <c r="E88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16</v>
      </c>
    </row>
    <row r="89" spans="1:5" x14ac:dyDescent="0.25">
      <c r="A89" t="s">
        <v>4</v>
      </c>
      <c r="B89" s="3">
        <v>43394</v>
      </c>
      <c r="C89" s="4">
        <v>0</v>
      </c>
      <c r="D89" s="4">
        <v>9</v>
      </c>
      <c r="E89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22</v>
      </c>
    </row>
    <row r="90" spans="1:5" x14ac:dyDescent="0.25">
      <c r="A90" t="s">
        <v>6</v>
      </c>
      <c r="B90" s="3">
        <v>43395</v>
      </c>
      <c r="C90" s="4">
        <v>0</v>
      </c>
      <c r="D90" s="4">
        <v>10</v>
      </c>
      <c r="E90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6</v>
      </c>
    </row>
    <row r="91" spans="1:5" x14ac:dyDescent="0.25">
      <c r="A91" t="s">
        <v>6</v>
      </c>
      <c r="B91" s="3">
        <v>43396</v>
      </c>
      <c r="C91" s="4">
        <v>0</v>
      </c>
      <c r="D91" s="4">
        <v>5</v>
      </c>
      <c r="E91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1</v>
      </c>
    </row>
    <row r="92" spans="1:5" x14ac:dyDescent="0.25">
      <c r="A92" t="s">
        <v>13</v>
      </c>
      <c r="B92" s="3">
        <v>43399</v>
      </c>
      <c r="C92" s="4">
        <v>30</v>
      </c>
      <c r="D92" s="4">
        <v>9</v>
      </c>
      <c r="E92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22</v>
      </c>
    </row>
    <row r="93" spans="1:5" x14ac:dyDescent="0.25">
      <c r="A93" t="s">
        <v>18</v>
      </c>
      <c r="B93" s="3">
        <v>43401</v>
      </c>
      <c r="C93" s="4">
        <v>0</v>
      </c>
      <c r="D93" s="4">
        <v>9</v>
      </c>
      <c r="E93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-5</v>
      </c>
    </row>
    <row r="94" spans="1:5" x14ac:dyDescent="0.25">
      <c r="A94" t="s">
        <v>17</v>
      </c>
      <c r="B94" s="3">
        <v>43403</v>
      </c>
      <c r="C94" s="4">
        <v>0</v>
      </c>
      <c r="D94" s="4">
        <v>5</v>
      </c>
      <c r="E94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19</v>
      </c>
    </row>
    <row r="95" spans="1:5" x14ac:dyDescent="0.25">
      <c r="A95" t="s">
        <v>13</v>
      </c>
      <c r="B95" s="3">
        <v>43404</v>
      </c>
      <c r="C95" s="4">
        <v>0</v>
      </c>
      <c r="D95" s="4">
        <v>7</v>
      </c>
      <c r="E95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15</v>
      </c>
    </row>
    <row r="96" spans="1:5" x14ac:dyDescent="0.25">
      <c r="A96" t="s">
        <v>13</v>
      </c>
      <c r="B96" s="3">
        <v>43410</v>
      </c>
      <c r="C96" s="4">
        <v>0</v>
      </c>
      <c r="D96" s="4">
        <v>8</v>
      </c>
      <c r="E96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7</v>
      </c>
    </row>
    <row r="97" spans="1:5" x14ac:dyDescent="0.25">
      <c r="A97" t="s">
        <v>4</v>
      </c>
      <c r="B97" s="3">
        <v>43415</v>
      </c>
      <c r="C97" s="4">
        <v>25</v>
      </c>
      <c r="D97" s="4">
        <v>0</v>
      </c>
      <c r="E97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47</v>
      </c>
    </row>
    <row r="98" spans="1:5" x14ac:dyDescent="0.25">
      <c r="A98" t="s">
        <v>13</v>
      </c>
      <c r="B98" s="3">
        <v>43415</v>
      </c>
      <c r="C98" s="4">
        <v>15</v>
      </c>
      <c r="D98" s="4">
        <v>0</v>
      </c>
      <c r="E98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22</v>
      </c>
    </row>
    <row r="99" spans="1:5" x14ac:dyDescent="0.25">
      <c r="A99" t="s">
        <v>6</v>
      </c>
      <c r="B99" s="3">
        <v>43415</v>
      </c>
      <c r="C99" s="4">
        <v>35</v>
      </c>
      <c r="D99" s="4">
        <v>0</v>
      </c>
      <c r="E99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36</v>
      </c>
    </row>
    <row r="100" spans="1:5" x14ac:dyDescent="0.25">
      <c r="A100" t="s">
        <v>15</v>
      </c>
      <c r="B100" s="3">
        <v>43415</v>
      </c>
      <c r="C100" s="4">
        <v>80</v>
      </c>
      <c r="D100" s="4">
        <v>0</v>
      </c>
      <c r="E100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56</v>
      </c>
    </row>
    <row r="101" spans="1:5" x14ac:dyDescent="0.25">
      <c r="A101" t="s">
        <v>4</v>
      </c>
      <c r="B101" s="3">
        <v>43416</v>
      </c>
      <c r="C101" s="4">
        <v>0</v>
      </c>
      <c r="D101" s="4">
        <v>25</v>
      </c>
      <c r="E101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22</v>
      </c>
    </row>
    <row r="102" spans="1:5" x14ac:dyDescent="0.25">
      <c r="A102" t="s">
        <v>6</v>
      </c>
      <c r="B102" s="3">
        <v>43416</v>
      </c>
      <c r="C102" s="4">
        <v>0</v>
      </c>
      <c r="D102" s="4">
        <v>25</v>
      </c>
      <c r="E102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11</v>
      </c>
    </row>
    <row r="103" spans="1:5" x14ac:dyDescent="0.25">
      <c r="A103" t="s">
        <v>17</v>
      </c>
      <c r="B103" s="3">
        <v>43419</v>
      </c>
      <c r="C103" s="4">
        <v>45</v>
      </c>
      <c r="D103" s="4">
        <v>0</v>
      </c>
      <c r="E103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64</v>
      </c>
    </row>
    <row r="104" spans="1:5" x14ac:dyDescent="0.25">
      <c r="A104" t="s">
        <v>18</v>
      </c>
      <c r="B104" s="3">
        <v>43419</v>
      </c>
      <c r="C104" s="4">
        <v>28</v>
      </c>
      <c r="D104" s="4">
        <v>0</v>
      </c>
      <c r="E104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23</v>
      </c>
    </row>
    <row r="105" spans="1:5" x14ac:dyDescent="0.25">
      <c r="A105" t="s">
        <v>19</v>
      </c>
      <c r="B105" s="3">
        <v>43419</v>
      </c>
      <c r="C105" s="4">
        <v>24</v>
      </c>
      <c r="D105" s="4">
        <v>0</v>
      </c>
      <c r="E105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36</v>
      </c>
    </row>
    <row r="106" spans="1:5" x14ac:dyDescent="0.25">
      <c r="A106" t="s">
        <v>19</v>
      </c>
      <c r="B106" s="3">
        <v>43420</v>
      </c>
      <c r="C106" s="4">
        <v>0</v>
      </c>
      <c r="D106" s="4">
        <v>6</v>
      </c>
      <c r="E106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30</v>
      </c>
    </row>
    <row r="107" spans="1:5" x14ac:dyDescent="0.25">
      <c r="A107" t="s">
        <v>14</v>
      </c>
      <c r="B107" s="3">
        <v>43790</v>
      </c>
      <c r="C107" s="4">
        <v>40</v>
      </c>
      <c r="D107" s="4">
        <v>5</v>
      </c>
      <c r="E107" s="5">
        <f>SUMIFS(TblLancamentos[ENTRADA],TblLancamentos[PRODUTO],TblLancamentos[[#This Row],[PRODUTO]],TblLancamentos[DATA],"&lt;="&amp;TblLancamentos[[#This Row],[DATA]])-SUMIFS(TblLancamentos[SAÍDA],TblLancamentos[PRODUTO],TblLancamentos[[#This Row],[PRODUTO]],TblLancamentos[DATA],"&lt;="&amp;TblLancamentos[[#This Row],[DATA]])</f>
        <v>35</v>
      </c>
    </row>
    <row r="108" spans="1:5" ht="15.75" x14ac:dyDescent="0.25">
      <c r="A108" s="8" t="s">
        <v>7</v>
      </c>
      <c r="B108" s="8"/>
      <c r="C108" s="8">
        <f>SUBTOTAL(109,TblLancamentos[ENTRADA])</f>
        <v>1005</v>
      </c>
      <c r="D108" s="8">
        <f>SUBTOTAL(109,TblLancamentos[SAÍDA])</f>
        <v>742</v>
      </c>
      <c r="E108" s="8">
        <f>SUBTOTAL(103,TblLancamentos[SALDO])</f>
        <v>104</v>
      </c>
    </row>
  </sheetData>
  <conditionalFormatting sqref="A4:D107">
    <cfRule type="expression" dxfId="12" priority="2">
      <formula>ODD(ROW())=ROW()</formula>
    </cfRule>
  </conditionalFormatting>
  <conditionalFormatting sqref="E4:E107">
    <cfRule type="cellIs" dxfId="11" priority="1" operator="lessThan">
      <formula>0</formula>
    </cfRule>
  </conditionalFormatting>
  <dataValidations count="3">
    <dataValidation type="date" allowBlank="1" showInputMessage="1" showErrorMessage="1" errorTitle="Erro" error="Por favor_x000a__x000a_Digite uma data válida_x000a__x000a_Ex: 04/05/2020" sqref="B4:B107">
      <formula1>1</formula1>
      <formula2>401769</formula2>
    </dataValidation>
    <dataValidation type="whole" allowBlank="1" showInputMessage="1" showErrorMessage="1" sqref="C4:D107">
      <formula1>0</formula1>
      <formula2>1000000000</formula2>
    </dataValidation>
    <dataValidation type="list" allowBlank="1" showInputMessage="1" showErrorMessage="1" sqref="A4:A107">
      <formula1>ColunaProdutos</formula1>
    </dataValidation>
  </dataValidations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Início</vt:lpstr>
      <vt:lpstr>Cadastro</vt:lpstr>
      <vt:lpstr>Lançamentos</vt:lpstr>
      <vt:lpstr>ColunaProdutos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2020-03-28T20:56:43Z</dcterms:modified>
</cp:coreProperties>
</file>