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2"/>
  </bookViews>
  <sheets>
    <sheet name="Início" sheetId="1" r:id="rId1"/>
    <sheet name="Cadastro" sheetId="7" r:id="rId2"/>
    <sheet name="Lançamentos" sheetId="6" r:id="rId3"/>
  </sheets>
  <definedNames>
    <definedName name="ColunaProdutos">TblCadastro[PRODUTO]</definedName>
  </definedNames>
  <calcPr calcId="145621"/>
</workbook>
</file>

<file path=xl/calcChain.xml><?xml version="1.0" encoding="utf-8"?>
<calcChain xmlns="http://schemas.openxmlformats.org/spreadsheetml/2006/main">
  <c r="E7" i="6" l="1"/>
  <c r="E4" i="6"/>
  <c r="E5" i="6"/>
  <c r="E6" i="6"/>
  <c r="E5" i="7" l="1"/>
  <c r="E4" i="7"/>
  <c r="D8" i="6" l="1"/>
  <c r="C8" i="6"/>
  <c r="B8" i="6"/>
  <c r="E8" i="6"/>
  <c r="F6" i="7"/>
</calcChain>
</file>

<file path=xl/sharedStrings.xml><?xml version="1.0" encoding="utf-8"?>
<sst xmlns="http://schemas.openxmlformats.org/spreadsheetml/2006/main" count="21" uniqueCount="13">
  <si>
    <t>PRODUTO</t>
  </si>
  <si>
    <t>MEDIDA</t>
  </si>
  <si>
    <t>ESTOQUE
MÍNIMO</t>
  </si>
  <si>
    <t>SALDO</t>
  </si>
  <si>
    <t>AVISOS</t>
  </si>
  <si>
    <t>Caneta esferográfica azul</t>
  </si>
  <si>
    <t>Unidade</t>
  </si>
  <si>
    <t>ESTOQUE
MÁXIMO</t>
  </si>
  <si>
    <t>Caneta esferográfica preta</t>
  </si>
  <si>
    <t>Total</t>
  </si>
  <si>
    <t>DATA</t>
  </si>
  <si>
    <t>ENTRADA</t>
  </si>
  <si>
    <t>SAÍDA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</si>
</sst>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25">
    <dxf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</dxf>
    <dxf>
      <numFmt numFmtId="19" formatCode="dd/mm/yyyy"/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</dxf>
    <dxf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</dxfs>
  <tableStyles count="1" defaultTableStyle="TableStyleMedium2" defaultPivotStyle="PivotStyleMedium9">
    <tableStyle name="EstiloTabelaPersonalizado" pivot="0" count="0"/>
  </tableStyles>
  <colors>
    <mruColors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2267712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21087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6" totalsRowCount="1" headerRowDxfId="24" totalsRowDxfId="23">
  <autoFilter ref="A3:F5"/>
  <tableColumns count="6">
    <tableColumn id="1" name="PRODUTO" totalsRowLabel="Total" totalsRowDxfId="22"/>
    <tableColumn id="2" name="MEDIDA" totalsRowDxfId="21"/>
    <tableColumn id="3" name="ESTOQUE_x000a_MÍNIMO" totalsRowDxfId="20"/>
    <tableColumn id="4" name="ESTOQUE_x000a_MÁXIMO" totalsRowDxfId="19"/>
    <tableColumn id="5" name="SALDO" dataDxfId="18" totalsRowDxfId="17">
      <calculatedColumnFormula>SUMIF(TblLancamentos[PRODUTO],TblCadastro[[#This Row],[PRODUTO]],TblLancamentos[ENTRADA])-SUMIF(TblLancamentos[PRODUTO],TblCadastro[[#This Row],[PRODUTO]],TblLancamentos[SAÍDA])</calculatedColumnFormula>
    </tableColumn>
    <tableColumn id="6" name="AVISOS" totalsRowFunction="count" dataDxfId="16" totalsRowDxfId="15"/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8" totalsRowCount="1" headerRowDxfId="14" totalsRowDxfId="13">
  <autoFilter ref="A3:E7"/>
  <tableColumns count="5">
    <tableColumn id="1" name="PRODUTO" totalsRowLabel="Total" totalsRowDxfId="4"/>
    <tableColumn id="2" name="DATA" totalsRowFunction="count" dataDxfId="12" totalsRowDxfId="3"/>
    <tableColumn id="3" name="ENTRADA" totalsRowFunction="sum" dataDxfId="11" totalsRowDxfId="2"/>
    <tableColumn id="4" name="SAÍDA" totalsRowFunction="sum" dataDxfId="10" totalsRowDxfId="1"/>
    <tableColumn id="5" name="SALDO" totalsRowFunction="count" dataDxfId="9" totalsRowDxfId="0">
      <calculatedColumnFormula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calculatedColumnFormula>
    </tableColumn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zoomScaleNormal="100" workbookViewId="0">
      <selection activeCell="C3" sqref="C3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="1" customFormat="1" ht="39.950000000000003" customHeight="1" x14ac:dyDescent="0.25"/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zoomScaleNormal="100" workbookViewId="0">
      <selection activeCell="E4" sqref="E4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6" s="1" customFormat="1" ht="39.950000000000003" customHeight="1" x14ac:dyDescent="0.25"/>
    <row r="3" spans="1:6" ht="30" x14ac:dyDescent="0.25">
      <c r="A3" s="2" t="s">
        <v>0</v>
      </c>
      <c r="B3" s="2" t="s">
        <v>1</v>
      </c>
      <c r="C3" s="3" t="s">
        <v>2</v>
      </c>
      <c r="D3" s="3" t="s">
        <v>7</v>
      </c>
      <c r="E3" s="2" t="s">
        <v>3</v>
      </c>
      <c r="F3" s="2" t="s">
        <v>4</v>
      </c>
    </row>
    <row r="4" spans="1:6" x14ac:dyDescent="0.25">
      <c r="A4" t="s">
        <v>5</v>
      </c>
      <c r="B4" t="s">
        <v>6</v>
      </c>
      <c r="C4">
        <v>15</v>
      </c>
      <c r="D4">
        <v>150</v>
      </c>
      <c r="E4" s="1">
        <f>SUMIF(TblLancamentos[PRODUTO],TblCadastro[[#This Row],[PRODUTO]],TblLancamentos[ENTRADA])-SUMIF(TblLancamentos[PRODUTO],TblCadastro[[#This Row],[PRODUTO]],TblLancamentos[SAÍDA])</f>
        <v>35</v>
      </c>
      <c r="F4" s="1"/>
    </row>
    <row r="5" spans="1:6" x14ac:dyDescent="0.25">
      <c r="A5" t="s">
        <v>8</v>
      </c>
      <c r="B5" t="s">
        <v>6</v>
      </c>
      <c r="C5">
        <v>15</v>
      </c>
      <c r="D5">
        <v>150</v>
      </c>
      <c r="E5" s="1">
        <f>SUMIF(TblLancamentos[PRODUTO],TblCadastro[[#This Row],[PRODUTO]],TblLancamentos[ENTRADA])-SUMIF(TblLancamentos[PRODUTO],TblCadastro[[#This Row],[PRODUTO]],TblLancamentos[SAÍDA])</f>
        <v>46</v>
      </c>
      <c r="F5" s="1"/>
    </row>
    <row r="6" spans="1:6" x14ac:dyDescent="0.25">
      <c r="A6" s="1" t="s">
        <v>9</v>
      </c>
      <c r="B6" s="1"/>
      <c r="C6" s="1"/>
      <c r="D6" s="1"/>
      <c r="E6" s="1"/>
      <c r="F6" s="1">
        <f>SUBTOTAL(103,TblCadastro[AVISOS])</f>
        <v>0</v>
      </c>
    </row>
  </sheetData>
  <conditionalFormatting sqref="A4:D5">
    <cfRule type="expression" dxfId="7" priority="1">
      <formula>ODD(ROW())=ROW()</formula>
    </cfRule>
  </conditionalFormatting>
  <dataValidations count="1"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showGridLines="0" tabSelected="1" zoomScaleNormal="100" workbookViewId="0">
      <selection activeCell="E7" sqref="E7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10</v>
      </c>
      <c r="C3" s="8" t="s">
        <v>11</v>
      </c>
      <c r="D3" s="7" t="s">
        <v>12</v>
      </c>
      <c r="E3" s="2" t="s">
        <v>3</v>
      </c>
    </row>
    <row r="4" spans="1:5" x14ac:dyDescent="0.25">
      <c r="A4" t="s">
        <v>5</v>
      </c>
      <c r="B4" s="4">
        <v>43698</v>
      </c>
      <c r="C4" s="5">
        <v>30</v>
      </c>
      <c r="D4" s="5">
        <v>5</v>
      </c>
      <c r="E4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25</v>
      </c>
    </row>
    <row r="5" spans="1:5" x14ac:dyDescent="0.25">
      <c r="A5" t="s">
        <v>5</v>
      </c>
      <c r="B5" s="4">
        <v>43699</v>
      </c>
      <c r="C5" s="5">
        <v>20</v>
      </c>
      <c r="D5" s="5">
        <v>10</v>
      </c>
      <c r="E5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35</v>
      </c>
    </row>
    <row r="6" spans="1:5" x14ac:dyDescent="0.25">
      <c r="A6" t="s">
        <v>8</v>
      </c>
      <c r="B6" s="4">
        <v>43605</v>
      </c>
      <c r="C6" s="5">
        <v>50</v>
      </c>
      <c r="D6" s="5">
        <v>2</v>
      </c>
      <c r="E6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46</v>
      </c>
    </row>
    <row r="7" spans="1:5" x14ac:dyDescent="0.25">
      <c r="A7" t="s">
        <v>8</v>
      </c>
      <c r="B7" s="4">
        <v>43497</v>
      </c>
      <c r="C7" s="5">
        <v>10</v>
      </c>
      <c r="D7" s="5">
        <v>12</v>
      </c>
      <c r="E7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</v>
      </c>
    </row>
    <row r="8" spans="1:5" x14ac:dyDescent="0.25">
      <c r="A8" s="9" t="s">
        <v>9</v>
      </c>
      <c r="B8" s="1">
        <f>SUBTOTAL(103,TblLancamentos[DATA])</f>
        <v>4</v>
      </c>
      <c r="C8" s="6">
        <f>SUBTOTAL(109,TblLancamentos[ENTRADA])</f>
        <v>110</v>
      </c>
      <c r="D8" s="6">
        <f>SUBTOTAL(109,TblLancamentos[SAÍDA])</f>
        <v>29</v>
      </c>
      <c r="E8" s="1">
        <f>SUBTOTAL(103,TblLancamentos[SALDO])</f>
        <v>4</v>
      </c>
    </row>
  </sheetData>
  <conditionalFormatting sqref="A4:D7">
    <cfRule type="expression" dxfId="6" priority="1">
      <formula>ODD(ROW())=ROW()</formula>
    </cfRule>
  </conditionalFormatting>
  <dataValidations count="3">
    <dataValidation type="date" allowBlank="1" showInputMessage="1" showErrorMessage="1" errorTitle="Erro" error="Por favor_x000a__x000a_Digite uma data válida_x000a__x000a_Ex: 04/05/2020" sqref="B4:B7">
      <formula1>1</formula1>
      <formula2>401769</formula2>
    </dataValidation>
    <dataValidation type="whole" allowBlank="1" showInputMessage="1" showErrorMessage="1" sqref="C4:D7">
      <formula1>0</formula1>
      <formula2>1000000000</formula2>
    </dataValidation>
    <dataValidation type="list" allowBlank="1" showInputMessage="1" showErrorMessage="1" sqref="A4:A7">
      <formula1>ColunaProdutos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Início</vt:lpstr>
      <vt:lpstr>Cadastro</vt:lpstr>
      <vt:lpstr>Lançamentos</vt:lpstr>
      <vt:lpstr>ColunaProdutos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2020-03-28T18:19:58Z</dcterms:modified>
</cp:coreProperties>
</file>